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F:\#KLIEN\#ATMi\Selisih\#FINAL SELISIH SURAT\Surat 020 - 038\"/>
    </mc:Choice>
  </mc:AlternateContent>
  <bookViews>
    <workbookView xWindow="-120" yWindow="-120" windowWidth="20736" windowHeight="11160"/>
  </bookViews>
  <sheets>
    <sheet name="ABS" sheetId="2" r:id="rId1"/>
  </sheets>
  <definedNames>
    <definedName name="_xlnm._FilterDatabase" localSheetId="0" hidden="1">ABS!$A$6:$O$175</definedName>
  </definedName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6" i="2" l="1"/>
  <c r="H176" i="2"/>
  <c r="G176" i="2" l="1"/>
  <c r="I7" i="2"/>
  <c r="I27" i="2"/>
  <c r="I42" i="2"/>
  <c r="I51" i="2"/>
  <c r="I53" i="2"/>
  <c r="I64" i="2"/>
  <c r="I73" i="2"/>
  <c r="I87" i="2"/>
  <c r="I98" i="2"/>
  <c r="I106" i="2"/>
  <c r="I116" i="2"/>
  <c r="I126" i="2"/>
  <c r="I134" i="2"/>
  <c r="I145" i="2"/>
  <c r="I151" i="2"/>
  <c r="I162" i="2"/>
  <c r="I166" i="2"/>
  <c r="I176" i="2" l="1"/>
</calcChain>
</file>

<file path=xl/comments1.xml><?xml version="1.0" encoding="utf-8"?>
<comments xmlns="http://schemas.openxmlformats.org/spreadsheetml/2006/main">
  <authors>
    <author>Pasca</author>
  </authors>
  <commentList>
    <comment ref="O6" authorId="0" shapeId="0">
      <text>
        <r>
          <rPr>
            <b/>
            <sz val="9"/>
            <color indexed="81"/>
            <rFont val="Tahoma"/>
            <family val="2"/>
          </rPr>
          <t>Pasca:</t>
        </r>
        <r>
          <rPr>
            <sz val="9"/>
            <color indexed="81"/>
            <rFont val="Tahoma"/>
            <family val="2"/>
          </rPr>
          <t xml:space="preserve">
Mohon bantuannya memproses ulang dari selisih surat 020 - 038
wajib memberikan keterangan didalam kolom sanggahan wilayah final 
Jika ada perubahan sanggahan silahkan masukan sanggahan terbaru 
Apabila tidak ada perubahan setelah di investigasi ulang silahkan masukan "INVESTIGASI FINAL SAMA"
</t>
        </r>
      </text>
    </comment>
  </commentList>
</comments>
</file>

<file path=xl/sharedStrings.xml><?xml version="1.0" encoding="utf-8"?>
<sst xmlns="http://schemas.openxmlformats.org/spreadsheetml/2006/main" count="1072" uniqueCount="271">
  <si>
    <t>NO</t>
  </si>
  <si>
    <t>No Surat</t>
  </si>
  <si>
    <t>ATM ID</t>
  </si>
  <si>
    <t>LOCATION</t>
  </si>
  <si>
    <t>CPC</t>
  </si>
  <si>
    <t>RPL</t>
  </si>
  <si>
    <t>Selisih Kurang</t>
  </si>
  <si>
    <t>Hasil Rekon BOA</t>
  </si>
  <si>
    <t>Keterangan</t>
  </si>
  <si>
    <t>Status</t>
  </si>
  <si>
    <t>020/SLSH - ATMi/IV/2024</t>
  </si>
  <si>
    <t>RAWAMANGUN</t>
  </si>
  <si>
    <t>Proses Invoice</t>
  </si>
  <si>
    <t>Pending - CIT</t>
  </si>
  <si>
    <t>BANDUNG</t>
  </si>
  <si>
    <t>021/SLSH - ATMi/IV/2024</t>
  </si>
  <si>
    <t>Diterima - Belum Dibayarkan</t>
  </si>
  <si>
    <t>022/SLSH - ATMi/IV/2024</t>
  </si>
  <si>
    <t>023/SLSH - ATMi/IV/2024</t>
  </si>
  <si>
    <t>Selisih berdasarkan klaim</t>
  </si>
  <si>
    <t>Ditolak - Tagihkan</t>
  </si>
  <si>
    <t>025/SLSH - ATMi/IV/2024</t>
  </si>
  <si>
    <t>026/SLSH - ATMi/IV/2024</t>
  </si>
  <si>
    <t>027/SLSH - ATMi/V/2024</t>
  </si>
  <si>
    <t>028/SLSH - ATMi/V/2024</t>
  </si>
  <si>
    <t>029/SLSH - ATMi/V/2024</t>
  </si>
  <si>
    <t>Belum ditanggapi</t>
  </si>
  <si>
    <t>031/SLSH - ATMi/V/2024</t>
  </si>
  <si>
    <t>032/SLSH - ATMi/V/2024</t>
  </si>
  <si>
    <t>033/SLSH - ATMi/VI/2024</t>
  </si>
  <si>
    <t>034/SLSH - ATMi/VI/2024</t>
  </si>
  <si>
    <t>035/SLSH - ATMi/VI/2024</t>
  </si>
  <si>
    <t>036/SLSH - ATMi/VI/2024</t>
  </si>
  <si>
    <t>Total Tagihan</t>
  </si>
  <si>
    <t>TOTAL/JUMLAH</t>
  </si>
  <si>
    <t>RPL Sebelumnya</t>
  </si>
  <si>
    <t>Indomaret Makmut</t>
  </si>
  <si>
    <t>MEDAN</t>
  </si>
  <si>
    <t>Alfamart Rancatungku</t>
  </si>
  <si>
    <t>Indomaret Salabintana Raya</t>
  </si>
  <si>
    <t>SUKABUMI</t>
  </si>
  <si>
    <t>Alfamart Situsari</t>
  </si>
  <si>
    <t>BOGOR</t>
  </si>
  <si>
    <t>Indomaret Lanbau</t>
  </si>
  <si>
    <t>Proses Invoice 50rb | Solved 50rb</t>
  </si>
  <si>
    <t>Indomaret Pandowo Lawang</t>
  </si>
  <si>
    <t>MALANG</t>
  </si>
  <si>
    <t>Indomaret Prnts Kmrdkaan M</t>
  </si>
  <si>
    <t>Alfamart Cigugur Subang</t>
  </si>
  <si>
    <t>SUBANG</t>
  </si>
  <si>
    <t>Proses Invoice 100rb | Solved 50rb</t>
  </si>
  <si>
    <t>Alfamart Jalinsum Km 110</t>
  </si>
  <si>
    <t>Indomaret Raya Sukabumi</t>
  </si>
  <si>
    <t>Indomaret Cbd Citra Grand</t>
  </si>
  <si>
    <t>Indomaret Chanjuang Rahayu</t>
  </si>
  <si>
    <t>Alfamart Nagrak Cisaat</t>
  </si>
  <si>
    <t>Indomaret Karanggan Muda</t>
  </si>
  <si>
    <t>Indomaret Griya Limus Asri</t>
  </si>
  <si>
    <t>Alfamart Temas Batu</t>
  </si>
  <si>
    <t>Indomaret Mekar Jaya Krw</t>
  </si>
  <si>
    <t>Alfamart Curug Kembar</t>
  </si>
  <si>
    <t>Alfamart Cakra Direja</t>
  </si>
  <si>
    <t>Alfamart Gunugsari</t>
  </si>
  <si>
    <t>Alfamart Muka Payung</t>
  </si>
  <si>
    <t>Alfamart Bukit Azalea</t>
  </si>
  <si>
    <t>Indomaret Sukarame Bdg</t>
  </si>
  <si>
    <t>Indomaret Sumber Kedawung</t>
  </si>
  <si>
    <t>SL SK</t>
  </si>
  <si>
    <t>Indomaret Terminal Nagrak</t>
  </si>
  <si>
    <t>Indomaret Griya Anggraini</t>
  </si>
  <si>
    <t>Alfamart Celak</t>
  </si>
  <si>
    <t>Alfamart Jatibaru Cpngr</t>
  </si>
  <si>
    <t>Alfamart Kp Boled</t>
  </si>
  <si>
    <t>Indomaret Compreng</t>
  </si>
  <si>
    <t>Selisih seharusnya 300rb, 100 Visa Alto sudah klop</t>
  </si>
  <si>
    <t>Proses Invoice 300rb | Solved 100rb</t>
  </si>
  <si>
    <t>Alfamart Grand Cibubur</t>
  </si>
  <si>
    <t>Indomaret Sawahan</t>
  </si>
  <si>
    <t>Tagihkan | Hasil Rekon EJ vs Fisik, Rekon EJ vs Switching, Rekon BOA tercatat selisih 500rb (Terlampir)</t>
  </si>
  <si>
    <t>Alfamart Jl Ry Cibucil07</t>
  </si>
  <si>
    <t>Indomaret Mandala Jaya</t>
  </si>
  <si>
    <t>CIAMIS</t>
  </si>
  <si>
    <t>Alfamart Pasir Dot</t>
  </si>
  <si>
    <t>Indomaret Kalapa Gunung</t>
  </si>
  <si>
    <t>Indomaret Gn Eundeur Rmpin</t>
  </si>
  <si>
    <t>Alfamart Perbawati</t>
  </si>
  <si>
    <t>Indomaret Siti Jaenab</t>
  </si>
  <si>
    <t>Alfamart Bght Spbu Cngsi</t>
  </si>
  <si>
    <t>Alfamart Blendung Cibogo</t>
  </si>
  <si>
    <t>Indomaret Cisait Kragilan</t>
  </si>
  <si>
    <t>Proses Invoice 50rb | Solved 300rb</t>
  </si>
  <si>
    <t>Indomaret Cilaku</t>
  </si>
  <si>
    <t>Alfamart Parakan Mas Br</t>
  </si>
  <si>
    <t>Indomaret Telasih</t>
  </si>
  <si>
    <t>Tagihkan | Hasil Rekon EJ vs Fisik tercatat selisih 50rb.</t>
  </si>
  <si>
    <t>Indomaret Gempol Kurung</t>
  </si>
  <si>
    <t>SURABAYA</t>
  </si>
  <si>
    <t>Indomaret Altrntif Bjg Gde</t>
  </si>
  <si>
    <t>Aflamidi Ra Fadillah</t>
  </si>
  <si>
    <t>Indomaret Raya Leces Km 13</t>
  </si>
  <si>
    <t>Alfamart Gading Elok 2</t>
  </si>
  <si>
    <t>Indomaret Leuwinanggung Ry</t>
  </si>
  <si>
    <t>Proses Invoice 50rb | Solved 100rb</t>
  </si>
  <si>
    <t>Alfamart Jl Pabuaran 2</t>
  </si>
  <si>
    <t>Alfamart Cut Nyak Dien</t>
  </si>
  <si>
    <t>Alfamart Gudang Cikalong</t>
  </si>
  <si>
    <t>Alfamart Lebakwangi</t>
  </si>
  <si>
    <t>Indomaret Jomin Raya</t>
  </si>
  <si>
    <t>Alfamidi Pengasinan</t>
  </si>
  <si>
    <t>Indomaret Swadaya Pabuaran</t>
  </si>
  <si>
    <t>Indomaret Cikidang2</t>
  </si>
  <si>
    <t>Indomaret Spbu Jonggol</t>
  </si>
  <si>
    <t>Indomaret Barcelona</t>
  </si>
  <si>
    <t>Alfamart East View Rsdnc</t>
  </si>
  <si>
    <t>Tagihkan | EJ Tidak Lengkap karena ada relokasi mesin (Terlampir EJ &amp; Query Trx)</t>
  </si>
  <si>
    <t>Indomaret Cikujang</t>
  </si>
  <si>
    <t>Indomaret Bantar Gadung</t>
  </si>
  <si>
    <t>Indomaret Martubung</t>
  </si>
  <si>
    <t>Indomaret Tembung Jt Luhur</t>
  </si>
  <si>
    <t>Alfamart Pmbngunan Skbmi</t>
  </si>
  <si>
    <t>Indomaret Bunga Asoka</t>
  </si>
  <si>
    <t>Alfamart Pantai Cermin 2</t>
  </si>
  <si>
    <t>Alfamart Berkah</t>
  </si>
  <si>
    <t>Indomaret Sukajadi Ckampek</t>
  </si>
  <si>
    <t>Indomaret Bunga Knanga Ke2</t>
  </si>
  <si>
    <t>Indomaret Pemuda Cipayung</t>
  </si>
  <si>
    <t>Indomaret Simpar</t>
  </si>
  <si>
    <t>Proses Invoice 1,350,000 | Solved 50rb</t>
  </si>
  <si>
    <t>Indomaret Galanggang</t>
  </si>
  <si>
    <t>Alfamart Pasarean Pamijahan</t>
  </si>
  <si>
    <t>Indomaret Teratai M0Jokrto</t>
  </si>
  <si>
    <t>SIDOARJO</t>
  </si>
  <si>
    <t>Alfamart Sinarjy Btjajar</t>
  </si>
  <si>
    <t>Indomaret Jogoroto</t>
  </si>
  <si>
    <t>Indomaret Pekan Bandar Kh</t>
  </si>
  <si>
    <t>Tagihkan | Berdasarkan laporan revisi yang dikirimkan (12 Mei 2024 Pukul 22:28) - Terlampir</t>
  </si>
  <si>
    <t>Indomaret Genteng Mjlengka</t>
  </si>
  <si>
    <t>Indomaret H Sulaiman Bdhn</t>
  </si>
  <si>
    <t>Alfamart Tungturunan</t>
  </si>
  <si>
    <t>Indomaret Raya Darangdan</t>
  </si>
  <si>
    <t>Alfamart Sialang Buah</t>
  </si>
  <si>
    <t>Indomaret Maribaya 212</t>
  </si>
  <si>
    <t>Indomaret Kalisuren 2</t>
  </si>
  <si>
    <t>Indomaret Perum Grya Indah</t>
  </si>
  <si>
    <t>Crmt Lucky Abadi</t>
  </si>
  <si>
    <t>Indomaret Spg Galang Lubuk</t>
  </si>
  <si>
    <t>Alfamart Ciomas Krgmukti</t>
  </si>
  <si>
    <t>Indomaret Sindangsari Brt</t>
  </si>
  <si>
    <t>Indomaret Grnd Nusa Indh 2</t>
  </si>
  <si>
    <t>Alfamart Sukaluyu</t>
  </si>
  <si>
    <t>Indomaret Sumber Agng Mjkt</t>
  </si>
  <si>
    <t>Alfamart Ciganda Mekar</t>
  </si>
  <si>
    <t>Alfamart Cempaka Mulya</t>
  </si>
  <si>
    <t>Alfamart Jatitujuh</t>
  </si>
  <si>
    <t>Tagihkan | Selisih lebih 3Jt tsb milik klaim nasabah lainnya (Terlampr Rekon EJ)</t>
  </si>
  <si>
    <t>Alfamart Tugu Udang</t>
  </si>
  <si>
    <t>Indomaret Perum Panorama</t>
  </si>
  <si>
    <t>Indomaret Tkban Perahu 208</t>
  </si>
  <si>
    <t>Alfamart Kauman Baru</t>
  </si>
  <si>
    <t>Indomaret Kawat Raya</t>
  </si>
  <si>
    <t>Indomaret Prmta Cbubur Blv</t>
  </si>
  <si>
    <t>Alfamart Sedap Malam</t>
  </si>
  <si>
    <t>Indomaret Basuki Rahmat</t>
  </si>
  <si>
    <t>Tagihakan | Hasil Rekon EJ vs Fisik tercatat selisih kurang 200rb (Terlampir)</t>
  </si>
  <si>
    <t>Indomaret Goalpara Sukaraja</t>
  </si>
  <si>
    <t>Alfamart Raya Ciherang</t>
  </si>
  <si>
    <t>Alfamart Ckg Salgdng Ke2</t>
  </si>
  <si>
    <t>Indomaret Karang Juwet 25</t>
  </si>
  <si>
    <t>Indomaret Limbangan 31</t>
  </si>
  <si>
    <t>Indomaret Taman Jy Ciemas</t>
  </si>
  <si>
    <t>Indomaret Cipeucang</t>
  </si>
  <si>
    <t>Alfamart Muktijaya</t>
  </si>
  <si>
    <t>Indomaret Canadian Brdway</t>
  </si>
  <si>
    <t>Indomaret Tanjung Raya</t>
  </si>
  <si>
    <t>Indomaret Kayu Putih</t>
  </si>
  <si>
    <t>Indomaret Pandan Landung</t>
  </si>
  <si>
    <t>Alfamart Gedung Putih</t>
  </si>
  <si>
    <t>Alfamart Cilawen</t>
  </si>
  <si>
    <t>Indomaret Sadarmanah 165</t>
  </si>
  <si>
    <t>Indomaret Raya Jatirangga</t>
  </si>
  <si>
    <t>Indomaret Wijaya Kusuma 2</t>
  </si>
  <si>
    <t>Alfamart Cilamaya</t>
  </si>
  <si>
    <t>Indomaret Ngantang</t>
  </si>
  <si>
    <t>KEDIRI</t>
  </si>
  <si>
    <t>Indomaret Mngkalaya Cisaat</t>
  </si>
  <si>
    <t>Alfamart Kebonsari</t>
  </si>
  <si>
    <t>Indomaret Palumbon Sari</t>
  </si>
  <si>
    <t>Indomaret Rawe 7</t>
  </si>
  <si>
    <t>Indomaret Sadu</t>
  </si>
  <si>
    <t>Indomaret Ciambar</t>
  </si>
  <si>
    <t>Alfamart Poros Mncongloe</t>
  </si>
  <si>
    <t>MAKASSAR</t>
  </si>
  <si>
    <t>Alfamart Jl Pemuda</t>
  </si>
  <si>
    <t>Indomaret Pohjejer</t>
  </si>
  <si>
    <t>Indomaret Raya Pakel</t>
  </si>
  <si>
    <t>Indomaret Tmn Mlati Swngan</t>
  </si>
  <si>
    <t>Alfamart Pesona Patruman</t>
  </si>
  <si>
    <t>Indomaret Panemon</t>
  </si>
  <si>
    <t>Alfamart Sukalarang 2</t>
  </si>
  <si>
    <t>Alfamart Kp Boled Ke-2</t>
  </si>
  <si>
    <t>Alfamart Rumdis Al</t>
  </si>
  <si>
    <t>Indomaret Psr Selasa</t>
  </si>
  <si>
    <t>Alfamart Grand Nusa Indh</t>
  </si>
  <si>
    <t>Indomaret Ry Klapa Nunggal</t>
  </si>
  <si>
    <t>Alfamart Tanggulun Timur</t>
  </si>
  <si>
    <t>Alfamart Graha Indah</t>
  </si>
  <si>
    <t>Indomaret Raya Sugio</t>
  </si>
  <si>
    <t>037/SLSH - ATMi/VI/2024</t>
  </si>
  <si>
    <t>Alfamart Prtn Nagrak</t>
  </si>
  <si>
    <t>Indomaret Raya Jonggol Cileungsi Km 10</t>
  </si>
  <si>
    <t>Alfamart Jayakerta</t>
  </si>
  <si>
    <t>Alfamart Kedisan</t>
  </si>
  <si>
    <t>BALI</t>
  </si>
  <si>
    <t>038/SLSH - ATMi/VII/2024</t>
  </si>
  <si>
    <t>Indomaret Ciomas Tembong</t>
  </si>
  <si>
    <t>Alfamart T Amir Hamzah</t>
  </si>
  <si>
    <t>Indomaret Kmplk Plni A 4 9</t>
  </si>
  <si>
    <t>Indomaret Lojikobong</t>
  </si>
  <si>
    <t>Indomaret Purimas Cikande</t>
  </si>
  <si>
    <t>Alfamart Tunggak Jati</t>
  </si>
  <si>
    <t>Alfamart Lngkr Sltan Skb</t>
  </si>
  <si>
    <t>Alfamart Bulog Jti Mlati</t>
  </si>
  <si>
    <t>Indomaret Pucung</t>
  </si>
  <si>
    <t>Indomaret Whna Pdk Gde No2</t>
  </si>
  <si>
    <t>(All)</t>
  </si>
  <si>
    <t>Grand Total</t>
  </si>
  <si>
    <t>Nominal Tagihan</t>
  </si>
  <si>
    <t>Selisih sebelummnya 100rb</t>
  </si>
  <si>
    <t>Selisih sebelummnya 150rb</t>
  </si>
  <si>
    <t>Selisih sebelummnya 350rb</t>
  </si>
  <si>
    <t>Selisih sebelummnya 1,400rb</t>
  </si>
  <si>
    <t>Total Klaim</t>
  </si>
  <si>
    <t>Nomor Surat ABS</t>
  </si>
  <si>
    <t>PT. ABADI TAMBAH MULIA INTERNASIONAL</t>
  </si>
  <si>
    <t>SHORTAGE ACTIVITY REPORT</t>
  </si>
  <si>
    <t>CIT  :</t>
  </si>
  <si>
    <t>PT. Abacus Cash Solution (April - Juni 2024)</t>
  </si>
  <si>
    <t xml:space="preserve">SANGGAHAN WILAYAH FINAL </t>
  </si>
  <si>
    <t>DITERIMA, EJ VS FISIK KURANG Rp 50.000,-</t>
  </si>
  <si>
    <t>DITERIMA, EJ VS FISIK SELISIH Rp 50.000,-</t>
  </si>
  <si>
    <t>DITOLAK, Terdapat selisih lebih pada pengisian selanjutnya Tgl 07 April 2024 sebesar Rp 50.000, sisanya DITERIMA sebesar Rp 50.000,-</t>
  </si>
  <si>
    <t>DITERIMA, EJ VS FISIK KURANG Rp 100.000,-</t>
  </si>
  <si>
    <t>DITOLAK, Terdapat selisih lebih pada pengisian selanjutnya Tgl 09 April 2024 sebesar Rp 100.000, sisanya DITERIMA sebesar Rp 50.000,-</t>
  </si>
  <si>
    <t>Selisih Final</t>
  </si>
  <si>
    <t>DITERIMA, EJ VS FIISK SELISIH Rp 400.000,-</t>
  </si>
  <si>
    <t>DITOLAK, Tidak ada CCTV</t>
  </si>
  <si>
    <t>DITERIMA, EJ VS FISIK SELISIH Rp 100.000,-</t>
  </si>
  <si>
    <t>DITERIMA, EJ VS FISIK SELISIH Rp 200.000,-</t>
  </si>
  <si>
    <t>DITOLAK, Terdapat selisih lebihpada pengisian sebelumnya Tgl 08 April 2024 sebesar Rp 300.000, sisanya DITERIMA sebesar Rp 50.000,-</t>
  </si>
  <si>
    <t>DITOLAK, Terdapat selisih lebih pada pengisian selanjutnya Tgl 02 Mei 2024 sebesar Rp 100.000, sisanya DITERIMA sebesar Rp 50.000,-</t>
  </si>
  <si>
    <t>Data EJ tidak lengkap pada Tgl 26 April 2024, Data saat pengosongan mesin</t>
  </si>
  <si>
    <t>DITERIMA, EJ VS FISIK SELISIH Rp 150.000,-</t>
  </si>
  <si>
    <t>DITOLAK, Terdapat selisih lebih pada pengisian selanjutnya Tgl 03 Mei 2024 sebesar Rp 50.000, Sisanya DITERIMA sebesar Rp 1.350.000,-</t>
  </si>
  <si>
    <t>DITOLAK, Berdasarkan perhitungan EJ VS FISIK BALANCE (Perhitungan terlampir)</t>
  </si>
  <si>
    <t>DITERIMA, EJ VS FISIK SELISIH Rp 350.000,-</t>
  </si>
  <si>
    <t>DITERIMA, EJ VS FISIK SELISIH Rp 750.000,-</t>
  </si>
  <si>
    <t>DITOLAK, Terdapat selisih lebih pada pengisian selanjutnya Tgl 13 April 2024 sebesar Rp 3.000.000,-</t>
  </si>
  <si>
    <t>DITOLAK, Berdasarkan perhitungan EJ VS FISIK Selisih Rp 50.000,-</t>
  </si>
  <si>
    <t>DITERIMA, EJ VS FISIK SELISIH Rp 400.000,-</t>
  </si>
  <si>
    <t>DITOLAK, Terdapat revisi laporan ATMi pada Tgl 07 Juni 2024 yang menunjukkan tidak adanya selisih (Revisi laporan terlampir)</t>
  </si>
  <si>
    <t>DITOLAK, Sudah dibayarkan pada laporan Tgl 19 Juni 2024 sebesar Rp 50.000, sisanya DITERIMA sebesar Rp 50.000,-</t>
  </si>
  <si>
    <t>DITOLAK, Sudah dibayarkan pada laporan Tgl 11 Juli 2024 sebesar Rp 50.000,-</t>
  </si>
  <si>
    <t xml:space="preserve">DITOLAK, Terdapat revisi laporan dan posisi kas Tgl 18 Juni 2024 </t>
  </si>
  <si>
    <t>DITOLAK, Terdapat selisih lebih pada pengisian Tgl 05 Juni 2024 sebesar Rp 1.500.000,-</t>
  </si>
  <si>
    <t>DITERIMA, EJ VS FISIK SELISIH Rp 500.000,-</t>
  </si>
  <si>
    <t>DITOLAK, Data EJ tidak lengkap</t>
  </si>
  <si>
    <t>DITOLAK, Sudah dibayarkan pada laporan Tgl 18 Juli 2024 sebesar Rp 50.000,-</t>
  </si>
  <si>
    <t>DITOLAK, Sudah dibayarkan pada laporan Tgl 22 Juli 2024 sebesar Rp 50.000,-</t>
  </si>
  <si>
    <t>DITOLAK, Sudah dibayarkan pada laporan Tgl 22 Juli 2024 sebesar Rp 350.000,-</t>
  </si>
  <si>
    <t>DITOLAK, Sudah dibayarkan pada laporan Tgl 22 Juli 2024 sebesar Rp 200.000</t>
  </si>
  <si>
    <t>SANGGAHAN PASCA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</si>
</sst>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name val="Calibri"/>
      <family val="2"/>
    </font>
    <font>
      <b/>
      <sz val="11"/>
      <name val="Aptos Narrow"/>
      <family val="2"/>
      <scheme val="minor"/>
    </font>
    <font>
      <b/>
      <sz val="10"/>
      <color rgb="FFFFC000"/>
      <name val="Calibri"/>
      <family val="2"/>
    </font>
    <font>
      <sz val="11"/>
      <color theme="1"/>
      <name val="Aptos Narrow"/>
      <family val="2"/>
      <scheme val="minor"/>
    </font>
    <font>
      <sz val="10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</cellStyleXfs>
  <cellXfs count="72">
    <xf numFmtId="0" fontId="0" fillId="0" borderId="0" xfId="0"/>
    <xf numFmtId="3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5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5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5" fontId="2" fillId="3" borderId="1" xfId="0" applyNumberFormat="1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/>
    </xf>
    <xf numFmtId="3" fontId="1" fillId="6" borderId="1" xfId="0" applyNumberFormat="1" applyFont="1" applyFill="1" applyBorder="1"/>
    <xf numFmtId="0" fontId="1" fillId="6" borderId="1" xfId="0" applyFont="1" applyFill="1" applyBorder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/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/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1" fontId="4" fillId="0" borderId="1" xfId="3" applyFont="1" applyFill="1" applyBorder="1" applyAlignment="1">
      <alignment horizontal="right" vertical="center"/>
    </xf>
    <xf numFmtId="41" fontId="14" fillId="0" borderId="1" xfId="3" applyFont="1" applyFill="1" applyBorder="1" applyAlignment="1">
      <alignment horizontal="right" vertical="center"/>
    </xf>
    <xf numFmtId="41" fontId="7" fillId="0" borderId="1" xfId="3" applyFont="1" applyFill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164" fontId="7" fillId="0" borderId="1" xfId="2" applyNumberFormat="1" applyFont="1" applyFill="1" applyBorder="1" applyAlignment="1">
      <alignment horizontal="right" vertical="center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4" fillId="7" borderId="1" xfId="0" applyFont="1" applyFill="1" applyBorder="1"/>
    <xf numFmtId="0" fontId="4" fillId="0" borderId="1" xfId="0" applyFont="1" applyFill="1" applyBorder="1"/>
    <xf numFmtId="0" fontId="2" fillId="7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164" fontId="4" fillId="0" borderId="1" xfId="2" applyNumberFormat="1" applyFont="1" applyBorder="1" applyAlignment="1">
      <alignment horizontal="right"/>
    </xf>
    <xf numFmtId="3" fontId="4" fillId="0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3" fontId="1" fillId="6" borderId="1" xfId="0" applyNumberFormat="1" applyFont="1" applyFill="1" applyBorder="1" applyAlignment="1">
      <alignment horizontal="right"/>
    </xf>
    <xf numFmtId="0" fontId="17" fillId="7" borderId="1" xfId="0" applyFont="1" applyFill="1" applyBorder="1"/>
    <xf numFmtId="0" fontId="4" fillId="0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center"/>
    </xf>
  </cellXfs>
  <cellStyles count="4">
    <cellStyle name="Comma" xfId="2" builtinId="3"/>
    <cellStyle name="Comma [0]" xfId="3" builtinId="6"/>
    <cellStyle name="Normal" xfId="0" builtinId="0"/>
    <cellStyle name="Normal 2" xfId="1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-ATMI" refreshedDate="45483.501168055554" createdVersion="8" refreshedVersion="8" minRefreshableVersion="3" recordCount="169">
  <cacheSource type="worksheet">
    <worksheetSource ref="A6:L175" sheet="ABS"/>
  </cacheSource>
  <cacheFields count="12">
    <cacheField name="NO" numFmtId="0">
      <sharedItems containsSemiMixedTypes="0" containsString="0" containsNumber="1" containsInteger="1" minValue="1" maxValue="180"/>
    </cacheField>
    <cacheField name="No Surat" numFmtId="0">
      <sharedItems count="17">
        <s v="020/SLSH - ATMi/IV/2024"/>
        <s v="021/SLSH - ATMi/IV/2024"/>
        <s v="022/SLSH - ATMi/IV/2024"/>
        <s v="023/SLSH - ATMi/IV/2024"/>
        <s v="025/SLSH - ATMi/IV/2024"/>
        <s v="026/SLSH - ATMi/IV/2024"/>
        <s v="027/SLSH - ATMi/V/2024"/>
        <s v="028/SLSH - ATMi/V/2024"/>
        <s v="029/SLSH - ATMi/V/2024"/>
        <s v="031/SLSH - ATMi/V/2024"/>
        <s v="032/SLSH - ATMi/V/2024"/>
        <s v="033/SLSH - ATMi/VI/2024"/>
        <s v="034/SLSH - ATMi/VI/2024"/>
        <s v="035/SLSH - ATMi/VI/2024"/>
        <s v="036/SLSH - ATMi/VI/2024"/>
        <s v="037/SLSH - ATMi/VI/2024"/>
        <s v="038/SLSH - ATMi/VII/2024"/>
      </sharedItems>
    </cacheField>
    <cacheField name="ATM ID" numFmtId="0">
      <sharedItems containsSemiMixedTypes="0" containsString="0" containsNumber="1" containsInteger="1" minValue="1000119" maxValue="1009870"/>
    </cacheField>
    <cacheField name="LOCATION" numFmtId="0">
      <sharedItems/>
    </cacheField>
    <cacheField name="CPC" numFmtId="0">
      <sharedItems count="13">
        <s v="MEDAN"/>
        <s v="BANDUNG"/>
        <s v="SUKABUMI"/>
        <s v="BOGOR"/>
        <s v="MALANG"/>
        <s v="SUBANG"/>
        <s v="CIAMIS"/>
        <s v="RAWAMANGUN"/>
        <s v="SURABAYA"/>
        <s v="SIDOARJO"/>
        <s v="KEDIRI"/>
        <s v="MAKASSAR"/>
        <s v="BALI"/>
      </sharedItems>
    </cacheField>
    <cacheField name="RPL Sebelumnya" numFmtId="15">
      <sharedItems containsSemiMixedTypes="0" containsNonDate="0" containsDate="1" containsString="0" minDate="2024-01-27T00:00:00" maxDate="2024-06-25T00:00:00"/>
    </cacheField>
    <cacheField name="RPL" numFmtId="15">
      <sharedItems containsSemiMixedTypes="0" containsNonDate="0" containsDate="1" containsString="0" minDate="2024-02-03T00:00:00" maxDate="2024-07-01T00:00:00"/>
    </cacheField>
    <cacheField name="Selisih Kurang" numFmtId="3">
      <sharedItems containsSemiMixedTypes="0" containsString="0" containsNumber="1" containsInteger="1" minValue="50000" maxValue="1500000"/>
    </cacheField>
    <cacheField name="Total Tagihan" numFmtId="3">
      <sharedItems containsString="0" containsBlank="1" containsNumber="1" containsInteger="1" minValue="100000" maxValue="2100000"/>
    </cacheField>
    <cacheField name="Hasil Rekon BOA" numFmtId="0">
      <sharedItems containsBlank="1"/>
    </cacheField>
    <cacheField name="Keterangan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n v="1"/>
    <x v="0"/>
    <n v="1002884"/>
    <s v="Indomaret Makmut"/>
    <x v="0"/>
    <d v="2024-03-29T00:00:00"/>
    <d v="2024-04-01T00:00:00"/>
    <n v="50000"/>
    <n v="1100000"/>
    <m/>
    <s v="Proses Invoice"/>
    <s v="Diterima - Belum Dibayarkan"/>
  </r>
  <r>
    <n v="2"/>
    <x v="0"/>
    <n v="1007437"/>
    <s v="Alfamart Rancatungku"/>
    <x v="1"/>
    <d v="2024-03-27T00:00:00"/>
    <d v="2024-04-01T00:00:00"/>
    <n v="50000"/>
    <m/>
    <m/>
    <s v="Proses Invoice"/>
    <s v="Diterima - Belum Dibayarkan"/>
  </r>
  <r>
    <n v="3"/>
    <x v="0"/>
    <n v="1000553"/>
    <s v="Indomaret Salabintana Raya"/>
    <x v="2"/>
    <d v="2024-03-26T00:00:00"/>
    <d v="2024-04-02T00:00:00"/>
    <n v="50000"/>
    <m/>
    <m/>
    <s v="Proses Invoice"/>
    <s v="Diterima - Belum Dibayarkan"/>
  </r>
  <r>
    <n v="4"/>
    <x v="0"/>
    <n v="1003009"/>
    <s v="Alfamart Situsari"/>
    <x v="3"/>
    <d v="2024-03-21T00:00:00"/>
    <d v="2024-04-02T00:00:00"/>
    <n v="50000"/>
    <m/>
    <m/>
    <s v="Proses Invoice"/>
    <s v="Diterima - Belum Dibayarkan"/>
  </r>
  <r>
    <n v="5"/>
    <x v="0"/>
    <n v="1001203"/>
    <s v="Indomaret Lanbau"/>
    <x v="3"/>
    <d v="2024-03-29T00:00:00"/>
    <d v="2024-04-03T00:00:00"/>
    <n v="50000"/>
    <m/>
    <s v="Selisih sebelummnya 100rb"/>
    <s v="Proses Invoice 50rb | Solved 50rb"/>
    <s v="Diterima - Belum Dibayarkan"/>
  </r>
  <r>
    <n v="6"/>
    <x v="0"/>
    <n v="1002398"/>
    <s v="Indomaret Pandowo Lawang"/>
    <x v="4"/>
    <d v="2024-03-26T00:00:00"/>
    <d v="2024-04-03T00:00:00"/>
    <n v="50000"/>
    <m/>
    <m/>
    <s v="Proses Invoice"/>
    <s v="Diterima - Belum Dibayarkan"/>
  </r>
  <r>
    <n v="7"/>
    <x v="0"/>
    <n v="1004332"/>
    <s v="Indomaret Prnts Kmrdkaan M"/>
    <x v="0"/>
    <d v="2024-03-25T00:00:00"/>
    <d v="2024-04-03T00:00:00"/>
    <n v="100000"/>
    <m/>
    <m/>
    <s v="Proses Invoice"/>
    <s v="Diterima - Belum Dibayarkan"/>
  </r>
  <r>
    <n v="8"/>
    <x v="0"/>
    <n v="1005920"/>
    <s v="Alfamart Cigugur Subang"/>
    <x v="5"/>
    <d v="2024-03-23T00:00:00"/>
    <d v="2024-04-03T00:00:00"/>
    <n v="100000"/>
    <m/>
    <s v="Selisih sebelummnya 150rb"/>
    <s v="Proses Invoice 100rb | Solved 50rb"/>
    <s v="Diterima - Belum Dibayarkan"/>
  </r>
  <r>
    <n v="9"/>
    <x v="0"/>
    <n v="1006132"/>
    <s v="Alfamart Jalinsum Km 110"/>
    <x v="0"/>
    <d v="2024-03-27T00:00:00"/>
    <d v="2024-04-03T00:00:00"/>
    <n v="50000"/>
    <m/>
    <m/>
    <s v="Proses Invoice"/>
    <s v="Diterima - Belum Dibayarkan"/>
  </r>
  <r>
    <n v="10"/>
    <x v="0"/>
    <n v="1002678"/>
    <s v="Indomaret Raya Sukabumi"/>
    <x v="2"/>
    <d v="2024-04-02T00:00:00"/>
    <d v="2024-04-04T00:00:00"/>
    <n v="50000"/>
    <m/>
    <m/>
    <s v="Proses Invoice"/>
    <s v="Diterima - Belum Dibayarkan"/>
  </r>
  <r>
    <n v="11"/>
    <x v="0"/>
    <n v="1003949"/>
    <s v="Indomaret Cbd Citra Grand"/>
    <x v="3"/>
    <d v="2024-03-30T00:00:00"/>
    <d v="2024-04-04T00:00:00"/>
    <n v="50000"/>
    <m/>
    <m/>
    <s v="Proses Invoice"/>
    <s v="Diterima - Belum Dibayarkan"/>
  </r>
  <r>
    <n v="12"/>
    <x v="0"/>
    <n v="1004615"/>
    <s v="Indomaret Chanjuang Rahayu"/>
    <x v="1"/>
    <d v="2024-03-27T00:00:00"/>
    <d v="2024-04-04T00:00:00"/>
    <n v="50000"/>
    <m/>
    <m/>
    <s v="Proses Invoice"/>
    <s v="Diterima - Belum Dibayarkan"/>
  </r>
  <r>
    <n v="13"/>
    <x v="0"/>
    <n v="1005530"/>
    <s v="Alfamart Nagrak Cisaat"/>
    <x v="2"/>
    <d v="2024-03-21T00:00:00"/>
    <d v="2024-04-04T00:00:00"/>
    <n v="50000"/>
    <m/>
    <m/>
    <s v="Proses Invoice"/>
    <s v="Diterima - Belum Dibayarkan"/>
  </r>
  <r>
    <n v="14"/>
    <x v="0"/>
    <n v="1000740"/>
    <s v="Indomaret Karanggan Muda"/>
    <x v="3"/>
    <d v="2024-04-02T00:00:00"/>
    <d v="2024-04-05T00:00:00"/>
    <n v="50000"/>
    <m/>
    <m/>
    <s v="Proses Invoice"/>
    <s v="Diterima - Belum Dibayarkan"/>
  </r>
  <r>
    <n v="15"/>
    <x v="0"/>
    <n v="1002647"/>
    <s v="Indomaret Griya Limus Asri"/>
    <x v="3"/>
    <d v="2024-04-02T00:00:00"/>
    <d v="2024-04-05T00:00:00"/>
    <n v="50000"/>
    <m/>
    <m/>
    <s v="Proses Invoice"/>
    <s v="Diterima - Belum Dibayarkan"/>
  </r>
  <r>
    <n v="16"/>
    <x v="0"/>
    <n v="1002853"/>
    <s v="Alfamart Temas Batu"/>
    <x v="4"/>
    <d v="2024-03-28T00:00:00"/>
    <d v="2024-04-05T00:00:00"/>
    <n v="50000"/>
    <m/>
    <m/>
    <s v="Proses Invoice"/>
    <s v="Diterima - Belum Dibayarkan"/>
  </r>
  <r>
    <n v="17"/>
    <x v="0"/>
    <n v="1003994"/>
    <s v="Indomaret Mekar Jaya Krw"/>
    <x v="5"/>
    <d v="2024-03-29T00:00:00"/>
    <d v="2024-04-05T00:00:00"/>
    <n v="50000"/>
    <m/>
    <m/>
    <s v="Proses Invoice"/>
    <s v="Diterima - Belum Dibayarkan"/>
  </r>
  <r>
    <n v="18"/>
    <x v="0"/>
    <n v="1004976"/>
    <s v="Alfamart Curug Kembar"/>
    <x v="2"/>
    <d v="2024-03-26T00:00:00"/>
    <d v="2024-04-05T00:00:00"/>
    <n v="50000"/>
    <m/>
    <m/>
    <s v="Proses Invoice"/>
    <s v="Diterima - Belum Dibayarkan"/>
  </r>
  <r>
    <n v="19"/>
    <x v="0"/>
    <n v="1005782"/>
    <s v="Alfamart Cakra Direja"/>
    <x v="5"/>
    <d v="2024-03-27T00:00:00"/>
    <d v="2024-04-05T00:00:00"/>
    <n v="50000"/>
    <m/>
    <m/>
    <s v="Proses Invoice"/>
    <s v="Diterima - Belum Dibayarkan"/>
  </r>
  <r>
    <n v="20"/>
    <x v="0"/>
    <n v="1006822"/>
    <s v="Alfamart Gunugsari"/>
    <x v="2"/>
    <d v="2024-03-26T00:00:00"/>
    <d v="2024-04-05T00:00:00"/>
    <n v="50000"/>
    <m/>
    <m/>
    <s v="Proses Invoice"/>
    <s v="Diterima - Belum Dibayarkan"/>
  </r>
  <r>
    <n v="21"/>
    <x v="1"/>
    <n v="1002215"/>
    <s v="Alfamart Muka Payung"/>
    <x v="1"/>
    <d v="2024-03-29T00:00:00"/>
    <d v="2024-04-06T00:00:00"/>
    <n v="50000"/>
    <n v="1450000"/>
    <m/>
    <s v="Proses Invoice"/>
    <s v="Diterima - Belum Dibayarkan"/>
  </r>
  <r>
    <n v="22"/>
    <x v="1"/>
    <n v="1003364"/>
    <s v="Alfamart Bukit Azalea"/>
    <x v="3"/>
    <d v="2024-04-03T00:00:00"/>
    <d v="2024-04-06T00:00:00"/>
    <n v="50000"/>
    <m/>
    <m/>
    <s v="Proses Invoice"/>
    <s v="Diterima - Belum Dibayarkan"/>
  </r>
  <r>
    <n v="23"/>
    <x v="1"/>
    <n v="1007098"/>
    <s v="Indomaret Sukarame Bdg"/>
    <x v="1"/>
    <d v="2024-04-04T00:00:00"/>
    <d v="2024-04-06T00:00:00"/>
    <n v="50000"/>
    <m/>
    <m/>
    <s v="Proses Invoice"/>
    <s v="Diterima - Belum Dibayarkan"/>
  </r>
  <r>
    <n v="24"/>
    <x v="1"/>
    <n v="1005036"/>
    <s v="Indomaret Sumber Kedawung"/>
    <x v="4"/>
    <d v="2024-03-26T00:00:00"/>
    <d v="2024-04-06T00:00:00"/>
    <n v="50000"/>
    <m/>
    <s v="SL SK"/>
    <s v="Proses Invoice"/>
    <s v="Diterima - Belum Dibayarkan"/>
  </r>
  <r>
    <n v="25"/>
    <x v="1"/>
    <n v="1000555"/>
    <s v="Indomaret Terminal Nagrak"/>
    <x v="2"/>
    <d v="2024-04-03T00:00:00"/>
    <d v="2024-04-07T00:00:00"/>
    <n v="50000"/>
    <m/>
    <m/>
    <s v="Proses Invoice"/>
    <s v="Diterima - Belum Dibayarkan"/>
  </r>
  <r>
    <n v="26"/>
    <x v="1"/>
    <n v="1003113"/>
    <s v="Indomaret Griya Anggraini"/>
    <x v="3"/>
    <d v="2024-04-02T00:00:00"/>
    <d v="2024-04-07T00:00:00"/>
    <n v="50000"/>
    <m/>
    <m/>
    <s v="Proses Invoice"/>
    <s v="Diterima - Belum Dibayarkan"/>
  </r>
  <r>
    <n v="27"/>
    <x v="1"/>
    <n v="1004697"/>
    <s v="Alfamart Celak"/>
    <x v="1"/>
    <d v="2024-03-30T00:00:00"/>
    <d v="2024-04-07T00:00:00"/>
    <n v="50000"/>
    <m/>
    <m/>
    <s v="Proses Invoice"/>
    <s v="Diterima - Belum Dibayarkan"/>
  </r>
  <r>
    <n v="28"/>
    <x v="1"/>
    <n v="1002029"/>
    <s v="Alfamart Jatibaru Cpngr"/>
    <x v="5"/>
    <d v="2024-04-03T00:00:00"/>
    <d v="2024-04-08T00:00:00"/>
    <n v="50000"/>
    <m/>
    <m/>
    <s v="Proses Invoice"/>
    <s v="Diterima - Belum Dibayarkan"/>
  </r>
  <r>
    <n v="29"/>
    <x v="1"/>
    <n v="1004593"/>
    <s v="Alfamart Kp Boled"/>
    <x v="5"/>
    <d v="2024-04-03T00:00:00"/>
    <d v="2024-04-08T00:00:00"/>
    <n v="50000"/>
    <m/>
    <m/>
    <s v="Proses Invoice"/>
    <s v="Diterima - Belum Dibayarkan"/>
  </r>
  <r>
    <n v="30"/>
    <x v="1"/>
    <n v="1005618"/>
    <s v="Indomaret Compreng"/>
    <x v="5"/>
    <d v="2024-04-02T00:00:00"/>
    <d v="2024-04-08T00:00:00"/>
    <n v="300000"/>
    <m/>
    <s v="Selisih seharusnya 300rb, 100 Visa Alto sudah klop"/>
    <s v="Proses Invoice 300rb | Solved 100rb"/>
    <s v="Diterima - Belum Dibayarkan"/>
  </r>
  <r>
    <n v="31"/>
    <x v="1"/>
    <n v="1006623"/>
    <s v="Alfamart Grand Cibubur"/>
    <x v="3"/>
    <d v="2024-04-04T00:00:00"/>
    <d v="2024-04-09T00:00:00"/>
    <n v="50000"/>
    <m/>
    <m/>
    <s v="Proses Invoice"/>
    <s v="Diterima - Belum Dibayarkan"/>
  </r>
  <r>
    <n v="32"/>
    <x v="1"/>
    <n v="1001239"/>
    <s v="Indomaret Sawahan"/>
    <x v="4"/>
    <d v="2024-04-07T00:00:00"/>
    <d v="2024-04-10T00:00:00"/>
    <n v="500000"/>
    <m/>
    <m/>
    <s v="Tagihkan | Hasil Rekon EJ vs Fisik, Rekon EJ vs Switching, Rekon BOA tercatat selisih 500rb (Terlampir)"/>
    <s v="Ditolak - Tagihkan"/>
  </r>
  <r>
    <n v="33"/>
    <x v="1"/>
    <n v="1001274"/>
    <s v="Alfamart Jl Ry Cibucil07"/>
    <x v="3"/>
    <d v="2024-04-05T00:00:00"/>
    <d v="2024-04-10T00:00:00"/>
    <n v="50000"/>
    <m/>
    <m/>
    <s v="Proses Invoice"/>
    <s v="Diterima - Belum Dibayarkan"/>
  </r>
  <r>
    <n v="34"/>
    <x v="1"/>
    <n v="1002135"/>
    <s v="Indomaret Mandala Jaya"/>
    <x v="6"/>
    <d v="2024-04-08T00:00:00"/>
    <d v="2024-04-10T00:00:00"/>
    <n v="50000"/>
    <m/>
    <m/>
    <s v="Proses Invoice"/>
    <s v="Diterima - Belum Dibayarkan"/>
  </r>
  <r>
    <n v="35"/>
    <x v="1"/>
    <n v="1004711"/>
    <s v="Alfamart Pasir Dot"/>
    <x v="2"/>
    <d v="2024-04-07T00:00:00"/>
    <d v="2024-04-10T00:00:00"/>
    <n v="50000"/>
    <m/>
    <m/>
    <s v="Proses Invoice"/>
    <s v="Diterima - Belum Dibayarkan"/>
  </r>
  <r>
    <n v="36"/>
    <x v="2"/>
    <n v="1005326"/>
    <s v="Indomaret Kalapa Gunung"/>
    <x v="6"/>
    <d v="2024-04-06T00:00:00"/>
    <d v="2024-04-11T00:00:00"/>
    <n v="50000"/>
    <n v="650000"/>
    <m/>
    <s v="Proses Invoice"/>
    <s v="Diterima - Belum Dibayarkan"/>
  </r>
  <r>
    <n v="37"/>
    <x v="2"/>
    <n v="1002805"/>
    <s v="Indomaret Gn Eundeur Rmpin"/>
    <x v="3"/>
    <d v="2024-04-03T00:00:00"/>
    <d v="2024-04-12T00:00:00"/>
    <n v="100000"/>
    <m/>
    <m/>
    <s v="Proses Invoice"/>
    <s v="Diterima - Belum Dibayarkan"/>
  </r>
  <r>
    <n v="38"/>
    <x v="2"/>
    <n v="1005557"/>
    <s v="Alfamart Perbawati"/>
    <x v="2"/>
    <d v="2024-04-08T00:00:00"/>
    <d v="2024-04-12T00:00:00"/>
    <n v="200000"/>
    <m/>
    <m/>
    <s v="Proses Invoice"/>
    <s v="Diterima - Belum Dibayarkan"/>
  </r>
  <r>
    <n v="39"/>
    <x v="2"/>
    <n v="1007082"/>
    <s v="Indomaret Siti Jaenab"/>
    <x v="2"/>
    <d v="2024-04-04T00:00:00"/>
    <d v="2024-04-12T00:00:00"/>
    <n v="50000"/>
    <m/>
    <m/>
    <s v="Proses Invoice"/>
    <s v="Diterima - Belum Dibayarkan"/>
  </r>
  <r>
    <n v="40"/>
    <x v="2"/>
    <n v="1004854"/>
    <s v="Alfamart Bght Spbu Cngsi"/>
    <x v="5"/>
    <d v="2024-04-06T00:00:00"/>
    <d v="2024-04-13T00:00:00"/>
    <n v="50000"/>
    <m/>
    <m/>
    <s v="Proses Invoice"/>
    <s v="Diterima - Belum Dibayarkan"/>
  </r>
  <r>
    <n v="41"/>
    <x v="2"/>
    <n v="1005918"/>
    <s v="Alfamart Blendung Cibogo"/>
    <x v="5"/>
    <d v="2024-04-07T00:00:00"/>
    <d v="2024-04-13T00:00:00"/>
    <n v="50000"/>
    <m/>
    <m/>
    <s v="Proses Invoice"/>
    <s v="Diterima - Belum Dibayarkan"/>
  </r>
  <r>
    <n v="42"/>
    <x v="2"/>
    <n v="1001307"/>
    <s v="Indomaret Cisait Kragilan"/>
    <x v="7"/>
    <d v="2024-04-08T00:00:00"/>
    <d v="2024-04-17T00:00:00"/>
    <n v="50000"/>
    <m/>
    <s v="Selisih sebelummnya 350rb"/>
    <s v="Proses Invoice 50rb | Solved 300rb"/>
    <s v="Diterima - Belum Dibayarkan"/>
  </r>
  <r>
    <n v="43"/>
    <x v="2"/>
    <n v="1005100"/>
    <s v="Indomaret Cilaku"/>
    <x v="2"/>
    <d v="2024-04-09T00:00:00"/>
    <d v="2024-04-17T00:00:00"/>
    <n v="50000"/>
    <m/>
    <m/>
    <s v="Proses Invoice"/>
    <s v="Diterima - Belum Dibayarkan"/>
  </r>
  <r>
    <n v="44"/>
    <x v="2"/>
    <n v="1005607"/>
    <s v="Alfamart Parakan Mas Br"/>
    <x v="1"/>
    <d v="2024-04-05T00:00:00"/>
    <d v="2024-04-17T00:00:00"/>
    <n v="50000"/>
    <m/>
    <m/>
    <s v="Proses Invoice"/>
    <s v="Diterima - Belum Dibayarkan"/>
  </r>
  <r>
    <n v="45"/>
    <x v="3"/>
    <n v="1001255"/>
    <s v="Indomaret Telasih"/>
    <x v="4"/>
    <d v="2024-01-27T00:00:00"/>
    <d v="2024-02-03T00:00:00"/>
    <n v="50000"/>
    <n v="100000"/>
    <s v="Selisih berdasarkan klaim"/>
    <s v="Tagihkan | Hasil Rekon EJ vs Fisik tercatat selisih 50rb."/>
    <s v="Ditolak - Tagihkan"/>
  </r>
  <r>
    <n v="46"/>
    <x v="3"/>
    <n v="1002353"/>
    <s v="Indomaret Gempol Kurung"/>
    <x v="8"/>
    <d v="2024-02-08T00:00:00"/>
    <d v="2024-02-13T00:00:00"/>
    <n v="50000"/>
    <m/>
    <s v="Selisih berdasarkan klaim"/>
    <s v="Proses Invoice"/>
    <s v="Diterima - Belum Dibayarkan"/>
  </r>
  <r>
    <n v="47"/>
    <x v="4"/>
    <n v="1001523"/>
    <s v="Indomaret Altrntif Bjg Gde"/>
    <x v="3"/>
    <d v="2024-04-08T00:00:00"/>
    <d v="2024-04-20T00:00:00"/>
    <n v="50000"/>
    <n v="550000"/>
    <m/>
    <s v="Proses Invoice"/>
    <s v="Diterima - Belum Dibayarkan"/>
  </r>
  <r>
    <n v="48"/>
    <x v="4"/>
    <n v="1005957"/>
    <s v="Aflamidi Ra Fadillah"/>
    <x v="3"/>
    <d v="2024-04-11T00:00:00"/>
    <d v="2024-04-20T00:00:00"/>
    <n v="50000"/>
    <m/>
    <m/>
    <s v="Proses Invoice"/>
    <s v="Diterima - Belum Dibayarkan"/>
  </r>
  <r>
    <n v="49"/>
    <x v="4"/>
    <n v="1008243"/>
    <s v="Indomaret Raya Leces Km 13"/>
    <x v="4"/>
    <d v="2024-04-12T00:00:00"/>
    <d v="2024-04-20T00:00:00"/>
    <n v="50000"/>
    <m/>
    <m/>
    <s v="Proses Invoice"/>
    <s v="Diterima - Belum Dibayarkan"/>
  </r>
  <r>
    <n v="50"/>
    <x v="4"/>
    <n v="1002992"/>
    <s v="Alfamart Gading Elok 2"/>
    <x v="5"/>
    <d v="2024-04-09T00:00:00"/>
    <d v="2024-04-21T00:00:00"/>
    <n v="50000"/>
    <m/>
    <m/>
    <s v="Proses Invoice"/>
    <s v="Diterima - Belum Dibayarkan"/>
  </r>
  <r>
    <n v="51"/>
    <x v="4"/>
    <n v="1006461"/>
    <s v="Indomaret Leuwinanggung Ry"/>
    <x v="3"/>
    <d v="2024-04-07T00:00:00"/>
    <d v="2024-04-21T00:00:00"/>
    <n v="50000"/>
    <m/>
    <s v="Selisih sebelummnya 150rb"/>
    <s v="Proses Invoice 50rb | Solved 100rb"/>
    <s v="Diterima - Belum Dibayarkan"/>
  </r>
  <r>
    <n v="52"/>
    <x v="4"/>
    <n v="1009515"/>
    <s v="Alfamart Jl Pabuaran 2"/>
    <x v="3"/>
    <d v="2024-04-05T00:00:00"/>
    <d v="2024-04-21T00:00:00"/>
    <n v="50000"/>
    <m/>
    <m/>
    <s v="Proses Invoice"/>
    <s v="Diterima - Belum Dibayarkan"/>
  </r>
  <r>
    <n v="53"/>
    <x v="4"/>
    <n v="1005314"/>
    <s v="Alfamart Cut Nyak Dien"/>
    <x v="6"/>
    <d v="2024-04-12T00:00:00"/>
    <d v="2024-04-22T00:00:00"/>
    <n v="50000"/>
    <m/>
    <m/>
    <s v="Proses Invoice"/>
    <s v="Diterima - Belum Dibayarkan"/>
  </r>
  <r>
    <n v="54"/>
    <x v="4"/>
    <n v="1006835"/>
    <s v="Alfamart Gudang Cikalong"/>
    <x v="2"/>
    <d v="2024-04-05T00:00:00"/>
    <d v="2024-04-22T00:00:00"/>
    <n v="50000"/>
    <m/>
    <m/>
    <s v="Proses Invoice"/>
    <s v="Diterima - Belum Dibayarkan"/>
  </r>
  <r>
    <n v="55"/>
    <x v="4"/>
    <n v="1002605"/>
    <s v="Alfamart Lebakwangi"/>
    <x v="1"/>
    <d v="2024-04-09T00:00:00"/>
    <d v="2024-04-23T00:00:00"/>
    <n v="50000"/>
    <m/>
    <m/>
    <s v="Proses Invoice"/>
    <s v="Diterima - Belum Dibayarkan"/>
  </r>
  <r>
    <n v="56"/>
    <x v="4"/>
    <n v="1002652"/>
    <s v="Indomaret Jomin Raya"/>
    <x v="5"/>
    <d v="2024-04-13T00:00:00"/>
    <d v="2024-04-23T00:00:00"/>
    <n v="50000"/>
    <m/>
    <m/>
    <s v="Proses Invoice"/>
    <s v="Diterima - Belum Dibayarkan"/>
  </r>
  <r>
    <n v="57"/>
    <x v="4"/>
    <n v="1000192"/>
    <s v="Alfamidi Pengasinan"/>
    <x v="3"/>
    <d v="2024-04-12T00:00:00"/>
    <d v="2024-04-23T00:00:00"/>
    <n v="50000"/>
    <m/>
    <s v="SL SK"/>
    <s v="Proses Invoice"/>
    <s v="Diterima - Belum Dibayarkan"/>
  </r>
  <r>
    <n v="58"/>
    <x v="5"/>
    <n v="1000917"/>
    <s v="Indomaret Swadaya Pabuaran"/>
    <x v="3"/>
    <d v="2024-04-11T00:00:00"/>
    <d v="2024-04-24T00:00:00"/>
    <n v="50000"/>
    <n v="600000"/>
    <m/>
    <s v="Proses Invoice"/>
    <s v="Diterima - Belum Dibayarkan"/>
  </r>
  <r>
    <n v="59"/>
    <x v="5"/>
    <n v="1000579"/>
    <s v="Indomaret Cikidang2"/>
    <x v="2"/>
    <d v="2024-04-16T00:00:00"/>
    <d v="2024-04-26T00:00:00"/>
    <n v="50000"/>
    <m/>
    <m/>
    <s v="Proses Invoice"/>
    <s v="Diterima - Belum Dibayarkan"/>
  </r>
  <r>
    <n v="60"/>
    <x v="5"/>
    <n v="1001365"/>
    <s v="Indomaret Spbu Jonggol"/>
    <x v="3"/>
    <d v="2024-04-17T00:00:00"/>
    <d v="2024-04-26T00:00:00"/>
    <n v="100000"/>
    <m/>
    <m/>
    <s v="Proses Invoice"/>
    <s v="Diterima - Belum Dibayarkan"/>
  </r>
  <r>
    <n v="61"/>
    <x v="5"/>
    <n v="1003071"/>
    <s v="Indomaret Barcelona"/>
    <x v="7"/>
    <d v="2024-04-20T00:00:00"/>
    <d v="2024-04-26T00:00:00"/>
    <n v="50000"/>
    <m/>
    <m/>
    <s v="Proses Invoice"/>
    <s v="Diterima - Belum Dibayarkan"/>
  </r>
  <r>
    <n v="62"/>
    <x v="5"/>
    <n v="1003602"/>
    <s v="Alfamart East View Rsdnc"/>
    <x v="7"/>
    <d v="2024-04-05T00:00:00"/>
    <d v="2024-04-26T00:00:00"/>
    <n v="100000"/>
    <m/>
    <m/>
    <s v="Tagihkan | EJ Tidak Lengkap karena ada relokasi mesin (Terlampir EJ &amp; Query Trx)"/>
    <s v="Ditolak - Tagihkan"/>
  </r>
  <r>
    <n v="63"/>
    <x v="5"/>
    <n v="1004249"/>
    <s v="Indomaret Cikujang"/>
    <x v="2"/>
    <d v="2024-04-20T00:00:00"/>
    <d v="2024-04-26T00:00:00"/>
    <n v="50000"/>
    <m/>
    <m/>
    <s v="Proses Invoice"/>
    <s v="Diterima - Belum Dibayarkan"/>
  </r>
  <r>
    <n v="64"/>
    <x v="5"/>
    <n v="1002078"/>
    <s v="Indomaret Bantar Gadung"/>
    <x v="2"/>
    <d v="2024-04-16T00:00:00"/>
    <d v="2024-04-27T00:00:00"/>
    <n v="50000"/>
    <m/>
    <m/>
    <s v="Proses Invoice"/>
    <s v="Diterima - Belum Dibayarkan"/>
  </r>
  <r>
    <n v="65"/>
    <x v="5"/>
    <n v="1002756"/>
    <s v="Indomaret Martubung"/>
    <x v="0"/>
    <d v="2024-04-20T00:00:00"/>
    <d v="2024-04-27T00:00:00"/>
    <n v="50000"/>
    <m/>
    <m/>
    <s v="Proses Invoice"/>
    <s v="Diterima - Belum Dibayarkan"/>
  </r>
  <r>
    <n v="66"/>
    <x v="5"/>
    <n v="1007422"/>
    <s v="Indomaret Tembung Jt Luhur"/>
    <x v="0"/>
    <d v="2024-04-17T00:00:00"/>
    <d v="2024-04-27T00:00:00"/>
    <n v="100000"/>
    <m/>
    <m/>
    <s v="Proses Invoice"/>
    <s v="Diterima - Belum Dibayarkan"/>
  </r>
  <r>
    <n v="67"/>
    <x v="6"/>
    <n v="1001840"/>
    <s v="Alfamart Pmbngunan Skbmi"/>
    <x v="2"/>
    <d v="2024-04-22T00:00:00"/>
    <d v="2024-04-29T00:00:00"/>
    <n v="50000"/>
    <n v="2100000"/>
    <m/>
    <s v="Proses Invoice"/>
    <s v="Diterima - Belum Dibayarkan"/>
  </r>
  <r>
    <n v="68"/>
    <x v="6"/>
    <n v="1002728"/>
    <s v="Indomaret Bunga Asoka"/>
    <x v="0"/>
    <d v="2024-04-16T00:00:00"/>
    <d v="2024-04-29T00:00:00"/>
    <n v="50000"/>
    <m/>
    <m/>
    <s v="Proses Invoice"/>
    <s v="Diterima - Belum Dibayarkan"/>
  </r>
  <r>
    <n v="69"/>
    <x v="6"/>
    <n v="1004354"/>
    <s v="Alfamart Pantai Cermin 2"/>
    <x v="0"/>
    <d v="2024-04-23T00:00:00"/>
    <d v="2024-04-30T00:00:00"/>
    <n v="50000"/>
    <m/>
    <m/>
    <s v="Proses Invoice"/>
    <s v="Diterima - Belum Dibayarkan"/>
  </r>
  <r>
    <n v="70"/>
    <x v="6"/>
    <n v="1004974"/>
    <s v="Alfamart Berkah"/>
    <x v="2"/>
    <d v="2024-04-13T00:00:00"/>
    <d v="2024-04-30T00:00:00"/>
    <n v="50000"/>
    <m/>
    <m/>
    <s v="Proses Invoice"/>
    <s v="Diterima - Belum Dibayarkan"/>
  </r>
  <r>
    <n v="71"/>
    <x v="6"/>
    <n v="1005461"/>
    <s v="Indomaret Sukajadi Ckampek"/>
    <x v="5"/>
    <d v="2024-04-26T00:00:00"/>
    <d v="2024-04-30T00:00:00"/>
    <n v="150000"/>
    <m/>
    <m/>
    <s v="Proses Invoice"/>
    <s v="Diterima - Belum Dibayarkan"/>
  </r>
  <r>
    <n v="72"/>
    <x v="6"/>
    <n v="1005883"/>
    <s v="Indomaret Bunga Knanga Ke2"/>
    <x v="0"/>
    <d v="2024-04-17T00:00:00"/>
    <d v="2024-04-30T00:00:00"/>
    <n v="50000"/>
    <m/>
    <m/>
    <s v="Proses Invoice"/>
    <s v="Diterima - Belum Dibayarkan"/>
  </r>
  <r>
    <n v="73"/>
    <x v="6"/>
    <n v="1001672"/>
    <s v="Indomaret Pemuda Cipayung"/>
    <x v="3"/>
    <d v="2024-04-16T00:00:00"/>
    <d v="2024-05-01T00:00:00"/>
    <n v="50000"/>
    <m/>
    <m/>
    <s v="Proses Invoice"/>
    <s v="Diterima - Belum Dibayarkan"/>
  </r>
  <r>
    <n v="74"/>
    <x v="6"/>
    <n v="1003241"/>
    <s v="Indomaret Simpar"/>
    <x v="5"/>
    <d v="2024-04-26T00:00:00"/>
    <d v="2024-05-01T00:00:00"/>
    <n v="1350000"/>
    <m/>
    <s v="Selisih sebelummnya 1,400rb"/>
    <s v="Proses Invoice 1,350,000 | Solved 50rb"/>
    <s v="Diterima - Belum Dibayarkan"/>
  </r>
  <r>
    <n v="75"/>
    <x v="6"/>
    <n v="1007079"/>
    <s v="Indomaret Galanggang"/>
    <x v="1"/>
    <d v="2024-04-24T00:00:00"/>
    <d v="2024-05-01T00:00:00"/>
    <n v="50000"/>
    <m/>
    <m/>
    <s v="Proses Invoice"/>
    <s v="Diterima - Belum Dibayarkan"/>
  </r>
  <r>
    <n v="76"/>
    <x v="6"/>
    <n v="1009645"/>
    <s v="Alfamart Pasarean Pamijahan"/>
    <x v="3"/>
    <d v="2024-04-25T00:00:00"/>
    <d v="2024-05-01T00:00:00"/>
    <n v="50000"/>
    <m/>
    <m/>
    <s v="Proses Invoice"/>
    <s v="Diterima - Belum Dibayarkan"/>
  </r>
  <r>
    <n v="77"/>
    <x v="6"/>
    <n v="1002461"/>
    <s v="Indomaret Teratai M0Jokrto"/>
    <x v="9"/>
    <d v="2024-04-26T00:00:00"/>
    <d v="2024-05-02T00:00:00"/>
    <n v="50000"/>
    <m/>
    <m/>
    <s v="Proses Invoice"/>
    <s v="Diterima - Belum Dibayarkan"/>
  </r>
  <r>
    <n v="78"/>
    <x v="6"/>
    <n v="1008763"/>
    <s v="Alfamart Sinarjy Btjajar"/>
    <x v="1"/>
    <d v="2024-04-17T00:00:00"/>
    <d v="2024-05-02T00:00:00"/>
    <n v="50000"/>
    <m/>
    <m/>
    <s v="Proses Invoice"/>
    <s v="Diterima - Belum Dibayarkan"/>
  </r>
  <r>
    <n v="79"/>
    <x v="6"/>
    <n v="1005754"/>
    <s v="Indomaret Jogoroto"/>
    <x v="9"/>
    <d v="2024-04-27T00:00:00"/>
    <d v="2024-05-03T00:00:00"/>
    <n v="50000"/>
    <m/>
    <m/>
    <s v="Proses Invoice"/>
    <s v="Diterima - Belum Dibayarkan"/>
  </r>
  <r>
    <n v="80"/>
    <x v="6"/>
    <n v="1001840"/>
    <s v="Alfamart Pmbngunan Skbmi"/>
    <x v="2"/>
    <d v="2024-04-29T00:00:00"/>
    <d v="2024-05-04T00:00:00"/>
    <n v="50000"/>
    <m/>
    <m/>
    <s v="Proses Invoice"/>
    <s v="Diterima - Belum Dibayarkan"/>
  </r>
  <r>
    <n v="81"/>
    <x v="7"/>
    <n v="1007391"/>
    <s v="Indomaret Pekan Bandar Kh"/>
    <x v="0"/>
    <d v="2024-04-23T00:00:00"/>
    <d v="2024-05-06T00:00:00"/>
    <n v="200000"/>
    <n v="1050000"/>
    <m/>
    <s v="Tagihkan | Berdasarkan laporan revisi yang dikirimkan (12 Mei 2024 Pukul 22:28) - Terlampir"/>
    <s v="Ditolak - Tagihkan"/>
  </r>
  <r>
    <n v="82"/>
    <x v="7"/>
    <n v="1007500"/>
    <s v="Indomaret Genteng Mjlengka"/>
    <x v="6"/>
    <d v="2024-04-27T00:00:00"/>
    <d v="2024-05-06T00:00:00"/>
    <n v="50000"/>
    <m/>
    <m/>
    <s v="Proses Invoice"/>
    <s v="Diterima - Belum Dibayarkan"/>
  </r>
  <r>
    <n v="83"/>
    <x v="7"/>
    <n v="1005100"/>
    <s v="Indomaret Cilaku"/>
    <x v="2"/>
    <d v="2024-04-27T00:00:00"/>
    <d v="2024-05-06T00:00:00"/>
    <n v="50000"/>
    <m/>
    <s v="SL SK"/>
    <s v="Proses Invoice"/>
    <s v="Diterima - Belum Dibayarkan"/>
  </r>
  <r>
    <n v="84"/>
    <x v="7"/>
    <n v="1006560"/>
    <s v="Indomaret H Sulaiman Bdhn"/>
    <x v="3"/>
    <d v="2024-05-03T00:00:00"/>
    <d v="2024-05-07T00:00:00"/>
    <n v="50000"/>
    <m/>
    <m/>
    <s v="Proses Invoice"/>
    <s v="Diterima - Belum Dibayarkan"/>
  </r>
  <r>
    <n v="85"/>
    <x v="7"/>
    <n v="1004947"/>
    <s v="Alfamart Tungturunan"/>
    <x v="2"/>
    <d v="2024-04-29T00:00:00"/>
    <d v="2024-05-07T00:00:00"/>
    <n v="50000"/>
    <m/>
    <m/>
    <s v="Proses Invoice"/>
    <s v="Diterima - Belum Dibayarkan"/>
  </r>
  <r>
    <n v="86"/>
    <x v="7"/>
    <n v="1005307"/>
    <s v="Indomaret Raya Darangdan"/>
    <x v="5"/>
    <d v="2024-05-02T00:00:00"/>
    <d v="2024-05-07T00:00:00"/>
    <n v="350000"/>
    <m/>
    <m/>
    <s v="Proses Invoice"/>
    <s v="Diterima - Belum Dibayarkan"/>
  </r>
  <r>
    <n v="87"/>
    <x v="7"/>
    <n v="1003446"/>
    <s v="Alfamart Sialang Buah"/>
    <x v="0"/>
    <d v="2024-05-02T00:00:00"/>
    <d v="2024-05-08T00:00:00"/>
    <n v="100000"/>
    <m/>
    <m/>
    <s v="Proses Invoice"/>
    <s v="Diterima - Belum Dibayarkan"/>
  </r>
  <r>
    <n v="88"/>
    <x v="7"/>
    <n v="1005623"/>
    <s v="Indomaret Maribaya 212"/>
    <x v="1"/>
    <d v="2024-05-03T00:00:00"/>
    <d v="2024-05-08T00:00:00"/>
    <n v="50000"/>
    <m/>
    <m/>
    <s v="Proses Invoice"/>
    <s v="Diterima - Belum Dibayarkan"/>
  </r>
  <r>
    <n v="89"/>
    <x v="7"/>
    <n v="1000281"/>
    <s v="Indomaret Kalisuren 2"/>
    <x v="3"/>
    <d v="2024-04-22T00:00:00"/>
    <d v="2024-05-09T00:00:00"/>
    <n v="50000"/>
    <m/>
    <m/>
    <s v="Proses Invoice"/>
    <s v="Diterima - Belum Dibayarkan"/>
  </r>
  <r>
    <n v="90"/>
    <x v="7"/>
    <n v="1003354"/>
    <s v="Indomaret Perum Grya Indah"/>
    <x v="5"/>
    <d v="2024-05-02T00:00:00"/>
    <d v="2024-05-09T00:00:00"/>
    <n v="50000"/>
    <m/>
    <m/>
    <s v="Proses Invoice"/>
    <s v="Diterima - Belum Dibayarkan"/>
  </r>
  <r>
    <n v="91"/>
    <x v="7"/>
    <n v="1002330"/>
    <s v="Crmt Lucky Abadi"/>
    <x v="3"/>
    <d v="2024-05-06T00:00:00"/>
    <d v="2024-05-10T00:00:00"/>
    <n v="50000"/>
    <m/>
    <m/>
    <s v="Proses Invoice"/>
    <s v="Diterima - Belum Dibayarkan"/>
  </r>
  <r>
    <n v="92"/>
    <x v="8"/>
    <n v="1007660"/>
    <s v="Indomaret Spg Galang Lubuk"/>
    <x v="0"/>
    <d v="2024-04-30T00:00:00"/>
    <d v="2024-05-11T00:00:00"/>
    <n v="50000"/>
    <n v="1150000"/>
    <m/>
    <s v="Proses Invoice"/>
    <s v="Diterima - Belum Dibayarkan"/>
  </r>
  <r>
    <n v="93"/>
    <x v="8"/>
    <n v="1003643"/>
    <s v="Alfamart Ciomas Krgmukti"/>
    <x v="5"/>
    <d v="2024-05-08T00:00:00"/>
    <d v="2024-05-12T00:00:00"/>
    <n v="50000"/>
    <m/>
    <m/>
    <s v="Proses Invoice"/>
    <s v="Diterima - Belum Dibayarkan"/>
  </r>
  <r>
    <n v="94"/>
    <x v="8"/>
    <n v="1005329"/>
    <s v="Indomaret Sindangsari Brt"/>
    <x v="1"/>
    <d v="2024-05-03T00:00:00"/>
    <d v="2024-05-12T00:00:00"/>
    <n v="750000"/>
    <m/>
    <m/>
    <s v="Proses Invoice"/>
    <s v="Diterima - Belum Dibayarkan"/>
  </r>
  <r>
    <n v="95"/>
    <x v="8"/>
    <n v="1003112"/>
    <s v="Indomaret Grnd Nusa Indh 2"/>
    <x v="3"/>
    <d v="2024-05-06T00:00:00"/>
    <d v="2024-05-12T00:00:00"/>
    <n v="50000"/>
    <m/>
    <m/>
    <s v="Proses Invoice"/>
    <s v="Diterima - Belum Dibayarkan"/>
  </r>
  <r>
    <n v="96"/>
    <x v="8"/>
    <n v="1000829"/>
    <s v="Alfamart Sukaluyu"/>
    <x v="2"/>
    <d v="2024-05-13T00:00:00"/>
    <d v="2024-05-14T00:00:00"/>
    <n v="100000"/>
    <m/>
    <m/>
    <s v="Proses Invoice"/>
    <s v="Diterima - Belum Dibayarkan"/>
  </r>
  <r>
    <n v="97"/>
    <x v="8"/>
    <n v="1005918"/>
    <s v="Alfamart Blendung Cibogo"/>
    <x v="5"/>
    <d v="2024-05-10T00:00:00"/>
    <d v="2024-05-14T00:00:00"/>
    <n v="50000"/>
    <m/>
    <m/>
    <s v="Proses Invoice"/>
    <s v="Diterima - Belum Dibayarkan"/>
  </r>
  <r>
    <n v="98"/>
    <x v="8"/>
    <n v="1006383"/>
    <s v="Indomaret Sumber Agng Mjkt"/>
    <x v="9"/>
    <d v="2024-05-06T00:00:00"/>
    <d v="2024-05-14T00:00:00"/>
    <n v="50000"/>
    <m/>
    <m/>
    <s v="Proses Invoice"/>
    <s v="Diterima - Belum Dibayarkan"/>
  </r>
  <r>
    <n v="99"/>
    <x v="8"/>
    <n v="1007502"/>
    <s v="Alfamart Ciganda Mekar"/>
    <x v="6"/>
    <d v="2024-05-07T00:00:00"/>
    <d v="2024-05-16T00:00:00"/>
    <n v="50000"/>
    <m/>
    <m/>
    <s v="Proses Invoice"/>
    <s v="Diterima - Belum Dibayarkan"/>
  </r>
  <r>
    <n v="100"/>
    <x v="9"/>
    <n v="1002574"/>
    <s v="Alfamart Cempaka Mulya"/>
    <x v="2"/>
    <d v="2024-05-12T00:00:00"/>
    <d v="2024-05-18T00:00:00"/>
    <n v="100000"/>
    <n v="2000000"/>
    <m/>
    <s v="Proses Invoice"/>
    <s v="Diterima - Belum Dibayarkan"/>
  </r>
  <r>
    <n v="101"/>
    <x v="9"/>
    <n v="1005315"/>
    <s v="Alfamart Jatitujuh"/>
    <x v="6"/>
    <d v="2024-04-07T00:00:00"/>
    <d v="2024-04-13T00:00:00"/>
    <n v="1500000"/>
    <m/>
    <s v="Selisih berdasarkan klaim"/>
    <s v="Tagihkan | Selisih lebih 3Jt tsb milik klaim nasabah lainnya (Terlampr Rekon EJ)"/>
    <s v="Ditolak - Tagihkan"/>
  </r>
  <r>
    <n v="102"/>
    <x v="9"/>
    <n v="1004063"/>
    <s v="Alfamart Tugu Udang"/>
    <x v="5"/>
    <d v="2024-05-06T00:00:00"/>
    <d v="2024-05-19T00:00:00"/>
    <n v="50000"/>
    <m/>
    <m/>
    <s v="Proses Invoice"/>
    <s v="Diterima - Belum Dibayarkan"/>
  </r>
  <r>
    <n v="103"/>
    <x v="9"/>
    <n v="1004627"/>
    <s v="Indomaret Perum Panorama"/>
    <x v="5"/>
    <d v="2024-05-11T00:00:00"/>
    <d v="2024-05-19T00:00:00"/>
    <n v="50000"/>
    <m/>
    <m/>
    <s v="Proses Invoice"/>
    <s v="Diterima - Belum Dibayarkan"/>
  </r>
  <r>
    <n v="104"/>
    <x v="9"/>
    <n v="1002912"/>
    <s v="Indomaret Tkban Perahu 208"/>
    <x v="1"/>
    <d v="2024-05-12T00:00:00"/>
    <d v="2024-05-21T00:00:00"/>
    <n v="50000"/>
    <m/>
    <m/>
    <s v="Proses Invoice"/>
    <s v="Diterima - Belum Dibayarkan"/>
  </r>
  <r>
    <n v="105"/>
    <x v="9"/>
    <n v="1005046"/>
    <s v="Alfamart Kauman Baru"/>
    <x v="8"/>
    <d v="2024-05-08T00:00:00"/>
    <d v="2024-05-21T00:00:00"/>
    <n v="50000"/>
    <m/>
    <m/>
    <s v="Proses Invoice"/>
    <s v="Diterima - Belum Dibayarkan"/>
  </r>
  <r>
    <n v="106"/>
    <x v="9"/>
    <n v="1002742"/>
    <s v="Indomaret Kawat Raya"/>
    <x v="0"/>
    <d v="2024-05-17T00:00:00"/>
    <d v="2024-05-22T00:00:00"/>
    <n v="50000"/>
    <m/>
    <m/>
    <s v="Proses Invoice"/>
    <s v="Diterima - Belum Dibayarkan"/>
  </r>
  <r>
    <n v="107"/>
    <x v="9"/>
    <n v="1003291"/>
    <s v="Indomaret Prmta Cbubur Blv"/>
    <x v="3"/>
    <d v="2024-05-13T00:00:00"/>
    <d v="2024-05-23T00:00:00"/>
    <n v="50000"/>
    <m/>
    <m/>
    <s v="Proses Invoice"/>
    <s v="Diterima - Belum Dibayarkan"/>
  </r>
  <r>
    <n v="108"/>
    <x v="9"/>
    <n v="1004354"/>
    <s v="Alfamart Pantai Cermin 2"/>
    <x v="0"/>
    <d v="2024-05-17T00:00:00"/>
    <d v="2024-05-23T00:00:00"/>
    <n v="50000"/>
    <m/>
    <m/>
    <s v="Proses Invoice"/>
    <s v="Diterima - Belum Dibayarkan"/>
  </r>
  <r>
    <n v="109"/>
    <x v="9"/>
    <n v="1001119"/>
    <s v="Alfamart Sedap Malam"/>
    <x v="3"/>
    <d v="2024-05-18T00:00:00"/>
    <d v="2024-05-24T00:00:00"/>
    <n v="50000"/>
    <m/>
    <m/>
    <s v="Proses Invoice"/>
    <s v="Diterima - Belum Dibayarkan"/>
  </r>
  <r>
    <n v="110"/>
    <x v="10"/>
    <n v="1003466"/>
    <s v="Indomaret Basuki Rahmat"/>
    <x v="9"/>
    <d v="2024-05-17T00:00:00"/>
    <d v="2024-05-25T00:00:00"/>
    <n v="200000"/>
    <n v="700000"/>
    <m/>
    <s v="Tagihakan | Hasil Rekon EJ vs Fisik tercatat selisih kurang 200rb (Terlampir)"/>
    <s v="Ditolak - Tagihkan"/>
  </r>
  <r>
    <n v="111"/>
    <x v="10"/>
    <n v="1003483"/>
    <s v="Indomaret Goalpara Sukaraja"/>
    <x v="2"/>
    <d v="2024-05-19T00:00:00"/>
    <d v="2024-05-25T00:00:00"/>
    <n v="50000"/>
    <m/>
    <m/>
    <s v="Proses Invoice"/>
    <s v="Diterima - Belum Dibayarkan"/>
  </r>
  <r>
    <n v="112"/>
    <x v="10"/>
    <n v="1002220"/>
    <s v="Alfamart Raya Ciherang"/>
    <x v="2"/>
    <d v="2024-05-17T00:00:00"/>
    <d v="2024-05-26T00:00:00"/>
    <n v="50000"/>
    <m/>
    <m/>
    <s v="Proses Invoice"/>
    <s v="Diterima - Belum Dibayarkan"/>
  </r>
  <r>
    <n v="113"/>
    <x v="10"/>
    <n v="1006849"/>
    <s v="Alfamart Ckg Salgdng Ke2"/>
    <x v="5"/>
    <d v="2024-05-17T00:00:00"/>
    <d v="2024-05-26T00:00:00"/>
    <n v="50000"/>
    <m/>
    <m/>
    <s v="Proses Invoice"/>
    <s v="Diterima - Belum Dibayarkan"/>
  </r>
  <r>
    <n v="114"/>
    <x v="10"/>
    <n v="1008515"/>
    <s v="Indomaret Karang Juwet 25"/>
    <x v="4"/>
    <d v="2024-05-16T00:00:00"/>
    <d v="2024-05-26T00:00:00"/>
    <n v="50000"/>
    <m/>
    <m/>
    <s v="Proses Invoice"/>
    <s v="Diterima - Belum Dibayarkan"/>
  </r>
  <r>
    <n v="115"/>
    <x v="10"/>
    <n v="1009665"/>
    <s v="Indomaret Limbangan 31"/>
    <x v="6"/>
    <d v="2024-05-02T00:00:00"/>
    <d v="2024-05-26T00:00:00"/>
    <n v="100000"/>
    <m/>
    <m/>
    <s v="Proses Invoice"/>
    <s v="Diterima - Belum Dibayarkan"/>
  </r>
  <r>
    <n v="116"/>
    <x v="10"/>
    <n v="1006830"/>
    <s v="Indomaret Taman Jy Ciemas"/>
    <x v="2"/>
    <d v="2024-05-19T00:00:00"/>
    <d v="2024-05-27T00:00:00"/>
    <n v="50000"/>
    <m/>
    <m/>
    <s v="Proses Invoice"/>
    <s v="Diterima - Belum Dibayarkan"/>
  </r>
  <r>
    <n v="117"/>
    <x v="10"/>
    <n v="1000850"/>
    <s v="Indomaret Cipeucang"/>
    <x v="3"/>
    <d v="2024-05-25T00:00:00"/>
    <d v="2024-05-30T00:00:00"/>
    <n v="50000"/>
    <m/>
    <m/>
    <s v="Proses Invoice"/>
    <s v="Diterima - Belum Dibayarkan"/>
  </r>
  <r>
    <n v="118"/>
    <x v="10"/>
    <n v="1002608"/>
    <s v="Alfamart Muktijaya"/>
    <x v="3"/>
    <d v="2024-05-25T00:00:00"/>
    <d v="2024-05-30T00:00:00"/>
    <n v="50000"/>
    <m/>
    <m/>
    <s v="Proses Invoice"/>
    <s v="Diterima - Belum Dibayarkan"/>
  </r>
  <r>
    <n v="119"/>
    <x v="10"/>
    <n v="1002802"/>
    <s v="Indomaret Canadian Brdway"/>
    <x v="3"/>
    <d v="2024-05-22T00:00:00"/>
    <d v="2024-05-30T00:00:00"/>
    <n v="50000"/>
    <m/>
    <m/>
    <s v="Proses Invoice"/>
    <s v="Diterima - Belum Dibayarkan"/>
  </r>
  <r>
    <n v="120"/>
    <x v="11"/>
    <n v="1001253"/>
    <s v="Indomaret Tanjung Raya"/>
    <x v="4"/>
    <d v="2024-05-24T00:00:00"/>
    <d v="2024-05-31T00:00:00"/>
    <n v="150000"/>
    <n v="600000"/>
    <m/>
    <s v="Proses Invoice"/>
    <s v="Diterima - Belum Dibayarkan"/>
  </r>
  <r>
    <n v="121"/>
    <x v="11"/>
    <n v="1002743"/>
    <s v="Indomaret Kayu Putih"/>
    <x v="0"/>
    <d v="2024-05-23T00:00:00"/>
    <d v="2024-05-31T00:00:00"/>
    <n v="100000"/>
    <m/>
    <m/>
    <s v="Proses Invoice"/>
    <s v="Diterima - Belum Dibayarkan"/>
  </r>
  <r>
    <n v="122"/>
    <x v="11"/>
    <n v="1001212"/>
    <s v="Indomaret Pandan Landung"/>
    <x v="4"/>
    <d v="2024-05-23T00:00:00"/>
    <d v="2024-06-01T00:00:00"/>
    <n v="50000"/>
    <m/>
    <m/>
    <s v="Proses Invoice"/>
    <s v="Diterima - Belum Dibayarkan"/>
  </r>
  <r>
    <n v="123"/>
    <x v="11"/>
    <n v="1004756"/>
    <s v="Alfamart Gedung Putih"/>
    <x v="2"/>
    <d v="2024-06-01T00:00:00"/>
    <d v="2024-06-02T00:00:00"/>
    <n v="50000"/>
    <m/>
    <m/>
    <s v="Proses Invoice"/>
    <s v="Diterima - Belum Dibayarkan"/>
  </r>
  <r>
    <n v="124"/>
    <x v="11"/>
    <n v="1000806"/>
    <s v="Alfamart Cilawen"/>
    <x v="2"/>
    <d v="2024-05-26T00:00:00"/>
    <d v="2024-06-03T00:00:00"/>
    <n v="100000"/>
    <m/>
    <m/>
    <s v="Proses Invoice"/>
    <s v="Diterima - Belum Dibayarkan"/>
  </r>
  <r>
    <n v="125"/>
    <x v="11"/>
    <n v="1002512"/>
    <s v="Indomaret Sadarmanah 165"/>
    <x v="1"/>
    <d v="2024-05-31T00:00:00"/>
    <d v="2024-06-04T00:00:00"/>
    <n v="50000"/>
    <m/>
    <m/>
    <s v="Proses Invoice"/>
    <s v="Diterima - Belum Dibayarkan"/>
  </r>
  <r>
    <n v="126"/>
    <x v="11"/>
    <n v="1001972"/>
    <s v="Indomaret Raya Jatirangga"/>
    <x v="3"/>
    <d v="2024-05-30T00:00:00"/>
    <d v="2024-06-05T00:00:00"/>
    <n v="50000"/>
    <m/>
    <m/>
    <s v="Proses Invoice"/>
    <s v="Diterima - Belum Dibayarkan"/>
  </r>
  <r>
    <n v="127"/>
    <x v="11"/>
    <n v="1006125"/>
    <s v="Indomaret Wijaya Kusuma 2"/>
    <x v="3"/>
    <d v="2024-05-30T00:00:00"/>
    <d v="2024-06-05T00:00:00"/>
    <n v="50000"/>
    <m/>
    <m/>
    <s v="Proses Invoice"/>
    <s v="Diterima - Belum Dibayarkan"/>
  </r>
  <r>
    <n v="128"/>
    <x v="12"/>
    <n v="1004062"/>
    <s v="Alfamart Cilamaya"/>
    <x v="5"/>
    <d v="2024-05-29T00:00:00"/>
    <d v="2024-06-06T00:00:00"/>
    <n v="100000"/>
    <n v="1400000"/>
    <m/>
    <s v="Belum ditanggapi"/>
    <s v="Pending - CIT"/>
  </r>
  <r>
    <n v="129"/>
    <x v="12"/>
    <n v="1008760"/>
    <s v="Indomaret Ngantang"/>
    <x v="10"/>
    <d v="2024-05-20T00:00:00"/>
    <d v="2024-06-06T00:00:00"/>
    <n v="50000"/>
    <m/>
    <m/>
    <s v="Belum ditanggapi"/>
    <s v="Pending - CIT"/>
  </r>
  <r>
    <n v="130"/>
    <x v="12"/>
    <n v="1001336"/>
    <s v="Indomaret Mngkalaya Cisaat"/>
    <x v="2"/>
    <d v="2024-06-01T00:00:00"/>
    <d v="2024-06-07T00:00:00"/>
    <n v="50000"/>
    <m/>
    <m/>
    <s v="Belum ditanggapi"/>
    <s v="Pending - CIT"/>
  </r>
  <r>
    <n v="131"/>
    <x v="12"/>
    <n v="1004069"/>
    <s v="Alfamart Kebonsari"/>
    <x v="5"/>
    <d v="2024-05-31T00:00:00"/>
    <d v="2024-06-07T00:00:00"/>
    <n v="50000"/>
    <m/>
    <m/>
    <s v="Belum ditanggapi"/>
    <s v="Pending - CIT"/>
  </r>
  <r>
    <n v="133"/>
    <x v="12"/>
    <n v="1003027"/>
    <s v="Indomaret Palumbon Sari"/>
    <x v="5"/>
    <d v="2024-06-02T00:00:00"/>
    <d v="2024-06-08T00:00:00"/>
    <n v="50000"/>
    <m/>
    <m/>
    <s v="Belum ditanggapi"/>
    <s v="Pending - CIT"/>
  </r>
  <r>
    <n v="135"/>
    <x v="12"/>
    <n v="1005329"/>
    <s v="Indomaret Sindangsari Brt"/>
    <x v="1"/>
    <d v="2024-06-01T00:00:00"/>
    <d v="2024-06-08T00:00:00"/>
    <n v="50000"/>
    <m/>
    <m/>
    <s v="Belum ditanggapi"/>
    <s v="Pending - CIT"/>
  </r>
  <r>
    <n v="139"/>
    <x v="12"/>
    <n v="1007206"/>
    <s v="Indomaret Rawe 7"/>
    <x v="0"/>
    <d v="2024-06-05T00:00:00"/>
    <d v="2024-06-09T00:00:00"/>
    <n v="400000"/>
    <m/>
    <m/>
    <s v="Belum ditanggapi"/>
    <s v="Pending - CIT"/>
  </r>
  <r>
    <n v="140"/>
    <x v="12"/>
    <n v="1002681"/>
    <s v="Indomaret Sadu"/>
    <x v="1"/>
    <d v="2024-06-03T00:00:00"/>
    <d v="2024-06-10T00:00:00"/>
    <n v="50000"/>
    <m/>
    <m/>
    <s v="Belum ditanggapi"/>
    <s v="Pending - CIT"/>
  </r>
  <r>
    <n v="141"/>
    <x v="12"/>
    <n v="1004896"/>
    <s v="Indomaret Ciambar"/>
    <x v="2"/>
    <d v="2024-06-02T00:00:00"/>
    <d v="2024-06-11T00:00:00"/>
    <n v="50000"/>
    <m/>
    <m/>
    <s v="Belum ditanggapi"/>
    <s v="Pending - CIT"/>
  </r>
  <r>
    <n v="142"/>
    <x v="12"/>
    <n v="1004922"/>
    <s v="Alfamart Poros Mncongloe"/>
    <x v="11"/>
    <d v="2024-06-01T00:00:00"/>
    <d v="2024-06-11T00:00:00"/>
    <n v="500000"/>
    <m/>
    <m/>
    <s v="Belum ditanggapi"/>
    <s v="Pending - CIT"/>
  </r>
  <r>
    <n v="144"/>
    <x v="12"/>
    <n v="1005530"/>
    <s v="Alfamart Nagrak Cisaat"/>
    <x v="2"/>
    <d v="2024-06-02T00:00:00"/>
    <d v="2024-06-11T00:00:00"/>
    <n v="50000"/>
    <m/>
    <m/>
    <s v="Belum ditanggapi"/>
    <s v="Pending - CIT"/>
  </r>
  <r>
    <n v="145"/>
    <x v="13"/>
    <n v="1005363"/>
    <s v="Alfamart Jl Pemuda"/>
    <x v="2"/>
    <d v="2024-05-31T00:00:00"/>
    <d v="2024-06-13T00:00:00"/>
    <n v="50000"/>
    <n v="1750000"/>
    <s v="Selisih sebelummnya 100rb"/>
    <s v="Solved 50rb | Proses Invoice 50rb"/>
    <s v="Diterima - Belum Dibayarkan"/>
  </r>
  <r>
    <n v="146"/>
    <x v="13"/>
    <n v="1001096"/>
    <s v="Indomaret Pohjejer"/>
    <x v="9"/>
    <d v="2024-06-08T00:00:00"/>
    <d v="2024-06-15T00:00:00"/>
    <n v="50000"/>
    <m/>
    <m/>
    <s v="Belum ditanggapi"/>
    <s v="Pending - CIT"/>
  </r>
  <r>
    <n v="147"/>
    <x v="13"/>
    <n v="1002166"/>
    <s v="Indomaret Raya Pakel"/>
    <x v="10"/>
    <d v="2024-06-08T00:00:00"/>
    <d v="2024-06-17T00:00:00"/>
    <n v="50000"/>
    <m/>
    <m/>
    <s v="Belum ditanggapi"/>
    <s v="Pending - CIT"/>
  </r>
  <r>
    <n v="148"/>
    <x v="13"/>
    <n v="1003295"/>
    <s v="Indomaret Tmn Mlati Swngan"/>
    <x v="3"/>
    <d v="2024-06-12T00:00:00"/>
    <d v="2024-06-17T00:00:00"/>
    <n v="50000"/>
    <m/>
    <m/>
    <s v="Belum ditanggapi"/>
    <s v="Pending - CIT"/>
  </r>
  <r>
    <n v="149"/>
    <x v="13"/>
    <n v="1004974"/>
    <s v="Alfamart Berkah"/>
    <x v="2"/>
    <d v="2024-06-09T00:00:00"/>
    <d v="2024-06-17T00:00:00"/>
    <n v="50000"/>
    <m/>
    <m/>
    <s v="Belum ditanggapi"/>
    <s v="Pending - CIT"/>
  </r>
  <r>
    <n v="150"/>
    <x v="13"/>
    <n v="1007444"/>
    <s v="Alfamart Pesona Patruman"/>
    <x v="1"/>
    <d v="2024-06-01T00:00:00"/>
    <d v="2024-06-05T00:00:00"/>
    <n v="1500000"/>
    <m/>
    <s v="SL SK"/>
    <s v="Belum ditanggapi"/>
    <s v="Pending - CIT"/>
  </r>
  <r>
    <n v="151"/>
    <x v="14"/>
    <n v="1001213"/>
    <s v="Indomaret Panemon"/>
    <x v="9"/>
    <d v="2024-06-14T00:00:00"/>
    <d v="2024-06-21T00:00:00"/>
    <n v="50000"/>
    <n v="1250000"/>
    <m/>
    <s v="Belum ditanggapi"/>
    <s v="Pending - CIT"/>
  </r>
  <r>
    <n v="152"/>
    <x v="14"/>
    <n v="1005369"/>
    <s v="Alfamart Sukalarang 2"/>
    <x v="2"/>
    <d v="2024-06-14T00:00:00"/>
    <d v="2024-06-21T00:00:00"/>
    <n v="100000"/>
    <m/>
    <m/>
    <s v="Belum ditanggapi"/>
    <s v="Pending - CIT"/>
  </r>
  <r>
    <n v="153"/>
    <x v="14"/>
    <n v="1006573"/>
    <s v="Alfamart Kp Boled Ke-2"/>
    <x v="5"/>
    <d v="2024-06-15T00:00:00"/>
    <d v="2024-06-21T00:00:00"/>
    <n v="50000"/>
    <m/>
    <m/>
    <s v="Belum ditanggapi"/>
    <s v="Pending - CIT"/>
  </r>
  <r>
    <n v="154"/>
    <x v="14"/>
    <n v="1009870"/>
    <s v="Alfamart Rumdis Al"/>
    <x v="3"/>
    <d v="2024-06-13T00:00:00"/>
    <d v="2024-06-21T00:00:00"/>
    <n v="500000"/>
    <m/>
    <m/>
    <s v="Belum ditanggapi"/>
    <s v="Pending - CIT"/>
  </r>
  <r>
    <n v="155"/>
    <x v="14"/>
    <n v="1000324"/>
    <s v="Indomaret Psr Selasa"/>
    <x v="3"/>
    <d v="2024-06-16T00:00:00"/>
    <d v="2024-06-22T00:00:00"/>
    <n v="50000"/>
    <m/>
    <m/>
    <s v="Belum ditanggapi"/>
    <s v="Pending - CIT"/>
  </r>
  <r>
    <n v="156"/>
    <x v="14"/>
    <n v="1001609"/>
    <s v="Alfamart Grand Nusa Indh"/>
    <x v="3"/>
    <d v="2024-06-12T00:00:00"/>
    <d v="2024-06-22T00:00:00"/>
    <n v="50000"/>
    <m/>
    <m/>
    <s v="Belum ditanggapi"/>
    <s v="Pending - CIT"/>
  </r>
  <r>
    <n v="157"/>
    <x v="14"/>
    <n v="1000887"/>
    <s v="Indomaret Ry Klapa Nunggal"/>
    <x v="2"/>
    <d v="2024-06-20T00:00:00"/>
    <d v="2024-06-23T00:00:00"/>
    <n v="50000"/>
    <m/>
    <m/>
    <s v="Belum ditanggapi"/>
    <s v="Pending - CIT"/>
  </r>
  <r>
    <n v="158"/>
    <x v="14"/>
    <n v="1001863"/>
    <s v="Alfamart Tanggulun Timur"/>
    <x v="5"/>
    <d v="2024-06-14T00:00:00"/>
    <d v="2024-06-23T00:00:00"/>
    <n v="50000"/>
    <m/>
    <m/>
    <s v="Belum ditanggapi"/>
    <s v="Pending - CIT"/>
  </r>
  <r>
    <n v="159"/>
    <x v="14"/>
    <n v="1005445"/>
    <s v="Alfamart Graha Indah"/>
    <x v="7"/>
    <d v="2024-06-13T00:00:00"/>
    <d v="2024-06-23T00:00:00"/>
    <n v="200000"/>
    <m/>
    <m/>
    <s v="Belum ditanggapi"/>
    <s v="Pending - CIT"/>
  </r>
  <r>
    <n v="160"/>
    <x v="14"/>
    <n v="1006418"/>
    <s v="Indomaret Raya Sugio"/>
    <x v="9"/>
    <d v="2024-06-17T00:00:00"/>
    <d v="2024-06-23T00:00:00"/>
    <n v="100000"/>
    <m/>
    <m/>
    <s v="Belum ditanggapi"/>
    <s v="Pending - CIT"/>
  </r>
  <r>
    <n v="161"/>
    <x v="14"/>
    <n v="1005618"/>
    <s v="Indomaret Compreng"/>
    <x v="5"/>
    <d v="2024-06-16T00:00:00"/>
    <d v="2024-06-24T00:00:00"/>
    <n v="50000"/>
    <m/>
    <m/>
    <s v="Belum ditanggapi"/>
    <s v="Pending - CIT"/>
  </r>
  <r>
    <n v="162"/>
    <x v="15"/>
    <n v="1000119"/>
    <s v="Alfamart Prtn Nagrak"/>
    <x v="3"/>
    <d v="2024-06-19T00:00:00"/>
    <d v="2024-06-25T00:00:00"/>
    <n v="50000"/>
    <n v="300000"/>
    <m/>
    <s v="Belum ditanggapi"/>
    <s v="Pending - CIT"/>
  </r>
  <r>
    <n v="163"/>
    <x v="15"/>
    <n v="1009837"/>
    <s v="Indomaret Raya Jonggol Cileungsi Km 10"/>
    <x v="3"/>
    <d v="2024-06-13T00:00:00"/>
    <d v="2024-06-25T00:00:00"/>
    <n v="50000"/>
    <m/>
    <m/>
    <s v="Belum ditanggapi"/>
    <s v="Pending - CIT"/>
  </r>
  <r>
    <n v="164"/>
    <x v="15"/>
    <n v="1004866"/>
    <s v="Alfamart Jayakerta"/>
    <x v="5"/>
    <d v="2024-06-22T00:00:00"/>
    <d v="2024-06-27T00:00:00"/>
    <n v="150000"/>
    <m/>
    <m/>
    <s v="Belum ditanggapi"/>
    <s v="Pending - CIT"/>
  </r>
  <r>
    <n v="165"/>
    <x v="15"/>
    <n v="1008253"/>
    <s v="Alfamart Kedisan"/>
    <x v="12"/>
    <d v="2024-06-20T00:00:00"/>
    <d v="2024-06-27T00:00:00"/>
    <n v="50000"/>
    <m/>
    <m/>
    <s v="Belum ditanggapi"/>
    <s v="Pending - CIT"/>
  </r>
  <r>
    <n v="166"/>
    <x v="16"/>
    <n v="1002793"/>
    <s v="Indomaret Ciomas Tembong"/>
    <x v="7"/>
    <d v="2024-06-19T00:00:00"/>
    <d v="2024-06-28T00:00:00"/>
    <n v="50000"/>
    <n v="1150000"/>
    <m/>
    <s v="Belum ditanggapi"/>
    <s v="Pending - CIT"/>
  </r>
  <r>
    <n v="167"/>
    <x v="16"/>
    <n v="1003452"/>
    <s v="Alfamart T Amir Hamzah"/>
    <x v="0"/>
    <d v="2024-06-17T00:00:00"/>
    <d v="2024-06-28T00:00:00"/>
    <n v="50000"/>
    <m/>
    <m/>
    <s v="Belum ditanggapi"/>
    <s v="Pending - CIT"/>
  </r>
  <r>
    <n v="168"/>
    <x v="16"/>
    <n v="1005908"/>
    <s v="Indomaret Kmplk Plni A 4 9"/>
    <x v="3"/>
    <d v="2024-06-21T00:00:00"/>
    <d v="2024-06-28T00:00:00"/>
    <n v="50000"/>
    <m/>
    <m/>
    <s v="Belum ditanggapi"/>
    <s v="Pending - CIT"/>
  </r>
  <r>
    <n v="169"/>
    <x v="16"/>
    <n v="1007499"/>
    <s v="Indomaret Lojikobong"/>
    <x v="6"/>
    <d v="2024-06-24T00:00:00"/>
    <d v="2024-06-28T00:00:00"/>
    <n v="200000"/>
    <m/>
    <m/>
    <s v="Belum ditanggapi"/>
    <s v="Pending - CIT"/>
  </r>
  <r>
    <n v="170"/>
    <x v="16"/>
    <n v="1000244"/>
    <s v="Indomaret Purimas Cikande"/>
    <x v="7"/>
    <d v="2024-06-24T00:00:00"/>
    <d v="2024-06-29T00:00:00"/>
    <n v="50000"/>
    <m/>
    <m/>
    <s v="Belum ditanggapi"/>
    <s v="Pending - CIT"/>
  </r>
  <r>
    <n v="173"/>
    <x v="16"/>
    <n v="1004502"/>
    <s v="Alfamart Tunggak Jati"/>
    <x v="5"/>
    <d v="2024-06-23T00:00:00"/>
    <d v="2024-06-29T00:00:00"/>
    <n v="100000"/>
    <m/>
    <m/>
    <s v="Belum ditanggapi"/>
    <s v="Pending - CIT"/>
  </r>
  <r>
    <n v="174"/>
    <x v="16"/>
    <n v="1005088"/>
    <s v="Alfamart Lngkr Sltan Skb"/>
    <x v="2"/>
    <d v="2024-06-20T00:00:00"/>
    <d v="2024-06-29T00:00:00"/>
    <n v="50000"/>
    <m/>
    <m/>
    <s v="Belum ditanggapi"/>
    <s v="Pending - CIT"/>
  </r>
  <r>
    <n v="175"/>
    <x v="16"/>
    <n v="1005762"/>
    <s v="Alfamart Bulog Jti Mlati"/>
    <x v="7"/>
    <d v="2024-06-19T00:00:00"/>
    <d v="2024-06-29T00:00:00"/>
    <n v="350000"/>
    <m/>
    <m/>
    <s v="Belum ditanggapi"/>
    <s v="Pending - CIT"/>
  </r>
  <r>
    <n v="179"/>
    <x v="16"/>
    <n v="1005460"/>
    <s v="Indomaret Pucung"/>
    <x v="5"/>
    <d v="2024-06-20T00:00:00"/>
    <d v="2024-06-28T00:00:00"/>
    <n v="50000"/>
    <m/>
    <s v="SL SK"/>
    <s v="Belum ditanggapi"/>
    <s v="Pending - CIT"/>
  </r>
  <r>
    <n v="180"/>
    <x v="16"/>
    <n v="1001786"/>
    <s v="Indomaret Whna Pdk Gde No2"/>
    <x v="7"/>
    <d v="2024-06-20T00:00:00"/>
    <d v="2024-06-30T00:00:00"/>
    <n v="200000"/>
    <m/>
    <m/>
    <s v="Belum ditanggapi"/>
    <s v="Pending - C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omor Surat ABS">
  <location ref="B181:D199" firstHeaderRow="0" firstDataRow="1" firstDataCol="1" rowPageCount="1" colPageCount="1"/>
  <pivotFields count="12"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axis="axisPage" showAll="0">
      <items count="14">
        <item x="12"/>
        <item x="1"/>
        <item x="3"/>
        <item x="6"/>
        <item x="10"/>
        <item x="11"/>
        <item x="4"/>
        <item x="0"/>
        <item x="7"/>
        <item x="9"/>
        <item x="5"/>
        <item x="2"/>
        <item x="8"/>
        <item t="default"/>
      </items>
    </pivotField>
    <pivotField numFmtId="15" showAll="0"/>
    <pivotField numFmtId="15" showAll="0"/>
    <pivotField dataField="1" numFmtId="3" showAll="0"/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Total Klaim" fld="7" subtotal="count" baseField="1" baseItem="0"/>
    <dataField name="Nominal Tagihan" fld="7" baseField="1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O199"/>
  <sheetViews>
    <sheetView tabSelected="1" zoomScale="55" zoomScaleNormal="55" workbookViewId="0">
      <pane xSplit="3" ySplit="6" topLeftCell="M7" activePane="bottomRight" state="frozen"/>
      <selection pane="topRight" activeCell="D1" sqref="D1"/>
      <selection pane="bottomLeft" activeCell="A2" sqref="A2"/>
      <selection pane="bottomRight" activeCell="O29" sqref="O29"/>
    </sheetView>
  </sheetViews>
  <sheetFormatPr defaultRowHeight="13.8"/>
  <cols>
    <col min="1" max="1" width="7.59765625" customWidth="1"/>
    <col min="2" max="2" width="35.296875" bestFit="1" customWidth="1"/>
    <col min="3" max="3" width="15.59765625" bestFit="1" customWidth="1"/>
    <col min="4" max="4" width="48" customWidth="1"/>
    <col min="5" max="5" width="13.69921875" customWidth="1"/>
    <col min="6" max="6" width="14.09765625" customWidth="1"/>
    <col min="7" max="7" width="9.59765625" customWidth="1"/>
    <col min="8" max="8" width="22.09765625" customWidth="1"/>
    <col min="9" max="9" width="21.59765625" customWidth="1"/>
    <col min="10" max="10" width="41.3984375" hidden="1" customWidth="1"/>
    <col min="11" max="11" width="76.3984375" style="41" hidden="1" customWidth="1"/>
    <col min="12" max="12" width="22.19921875" hidden="1" customWidth="1"/>
    <col min="13" max="13" width="107.3984375" bestFit="1" customWidth="1"/>
    <col min="14" max="14" width="12.796875" bestFit="1" customWidth="1"/>
    <col min="15" max="15" width="38.796875" bestFit="1" customWidth="1"/>
  </cols>
  <sheetData>
    <row r="1" spans="1:15">
      <c r="A1" s="37" t="s">
        <v>233</v>
      </c>
      <c r="B1" s="36"/>
    </row>
    <row r="2" spans="1:15">
      <c r="A2" s="37" t="s">
        <v>234</v>
      </c>
      <c r="B2" s="36"/>
    </row>
    <row r="3" spans="1:15">
      <c r="A3" s="37" t="s">
        <v>235</v>
      </c>
      <c r="B3" s="38" t="s">
        <v>236</v>
      </c>
    </row>
    <row r="6" spans="1:15">
      <c r="A6" s="2" t="s">
        <v>0</v>
      </c>
      <c r="B6" s="3" t="s">
        <v>1</v>
      </c>
      <c r="C6" s="2" t="s">
        <v>2</v>
      </c>
      <c r="D6" s="2" t="s">
        <v>3</v>
      </c>
      <c r="E6" s="2" t="s">
        <v>4</v>
      </c>
      <c r="F6" s="2" t="s">
        <v>35</v>
      </c>
      <c r="G6" s="2" t="s">
        <v>5</v>
      </c>
      <c r="H6" s="2" t="s">
        <v>6</v>
      </c>
      <c r="I6" s="2" t="s">
        <v>33</v>
      </c>
      <c r="J6" s="2" t="s">
        <v>7</v>
      </c>
      <c r="K6" s="39" t="s">
        <v>8</v>
      </c>
      <c r="L6" s="2" t="s">
        <v>9</v>
      </c>
      <c r="M6" s="44" t="s">
        <v>270</v>
      </c>
      <c r="N6" s="2" t="s">
        <v>243</v>
      </c>
      <c r="O6" s="62" t="s">
        <v>237</v>
      </c>
    </row>
    <row r="7" spans="1:15" s="57" customFormat="1">
      <c r="A7" s="5">
        <v>1</v>
      </c>
      <c r="B7" s="6" t="s">
        <v>10</v>
      </c>
      <c r="C7" s="7">
        <v>1002884</v>
      </c>
      <c r="D7" s="6" t="s">
        <v>36</v>
      </c>
      <c r="E7" s="7" t="s">
        <v>37</v>
      </c>
      <c r="F7" s="8">
        <v>45380</v>
      </c>
      <c r="G7" s="8">
        <v>45383</v>
      </c>
      <c r="H7" s="9">
        <v>50000</v>
      </c>
      <c r="I7" s="9">
        <f>SUM(H7:H26)</f>
        <v>1100000</v>
      </c>
      <c r="J7" s="6"/>
      <c r="K7" s="42" t="s">
        <v>12</v>
      </c>
      <c r="L7" s="15" t="s">
        <v>16</v>
      </c>
      <c r="M7" s="56" t="s">
        <v>238</v>
      </c>
      <c r="N7" s="64">
        <v>50000</v>
      </c>
      <c r="O7" s="56"/>
    </row>
    <row r="8" spans="1:15" s="57" customFormat="1">
      <c r="A8" s="5">
        <v>2</v>
      </c>
      <c r="B8" s="6" t="s">
        <v>10</v>
      </c>
      <c r="C8" s="7">
        <v>1007437</v>
      </c>
      <c r="D8" s="6" t="s">
        <v>38</v>
      </c>
      <c r="E8" s="7" t="s">
        <v>14</v>
      </c>
      <c r="F8" s="8">
        <v>45378</v>
      </c>
      <c r="G8" s="8">
        <v>45383</v>
      </c>
      <c r="H8" s="9">
        <v>50000</v>
      </c>
      <c r="I8" s="9"/>
      <c r="J8" s="6"/>
      <c r="K8" s="42" t="s">
        <v>12</v>
      </c>
      <c r="L8" s="15" t="s">
        <v>16</v>
      </c>
      <c r="M8" s="56" t="s">
        <v>239</v>
      </c>
      <c r="N8" s="64">
        <v>50000</v>
      </c>
      <c r="O8" s="56"/>
    </row>
    <row r="9" spans="1:15" s="57" customFormat="1">
      <c r="A9" s="5">
        <v>3</v>
      </c>
      <c r="B9" s="6" t="s">
        <v>10</v>
      </c>
      <c r="C9" s="7">
        <v>1000553</v>
      </c>
      <c r="D9" s="6" t="s">
        <v>39</v>
      </c>
      <c r="E9" s="7" t="s">
        <v>40</v>
      </c>
      <c r="F9" s="8">
        <v>45377</v>
      </c>
      <c r="G9" s="8">
        <v>45384</v>
      </c>
      <c r="H9" s="9">
        <v>50000</v>
      </c>
      <c r="I9" s="9"/>
      <c r="J9" s="6"/>
      <c r="K9" s="42" t="s">
        <v>12</v>
      </c>
      <c r="L9" s="15" t="s">
        <v>16</v>
      </c>
      <c r="M9" s="56" t="s">
        <v>239</v>
      </c>
      <c r="N9" s="64">
        <v>50000</v>
      </c>
      <c r="O9" s="56"/>
    </row>
    <row r="10" spans="1:15" s="57" customFormat="1">
      <c r="A10" s="5">
        <v>4</v>
      </c>
      <c r="B10" s="6" t="s">
        <v>10</v>
      </c>
      <c r="C10" s="7">
        <v>1003009</v>
      </c>
      <c r="D10" s="6" t="s">
        <v>41</v>
      </c>
      <c r="E10" s="7" t="s">
        <v>42</v>
      </c>
      <c r="F10" s="8">
        <v>45372</v>
      </c>
      <c r="G10" s="8">
        <v>45384</v>
      </c>
      <c r="H10" s="9">
        <v>50000</v>
      </c>
      <c r="I10" s="9"/>
      <c r="J10" s="6"/>
      <c r="K10" s="42" t="s">
        <v>12</v>
      </c>
      <c r="L10" s="15" t="s">
        <v>16</v>
      </c>
      <c r="M10" s="56" t="s">
        <v>239</v>
      </c>
      <c r="N10" s="64">
        <v>50000</v>
      </c>
      <c r="O10" s="56"/>
    </row>
    <row r="11" spans="1:15" s="57" customFormat="1">
      <c r="A11" s="5">
        <v>5</v>
      </c>
      <c r="B11" s="6" t="s">
        <v>10</v>
      </c>
      <c r="C11" s="7">
        <v>1001203</v>
      </c>
      <c r="D11" s="6" t="s">
        <v>43</v>
      </c>
      <c r="E11" s="7" t="s">
        <v>42</v>
      </c>
      <c r="F11" s="8">
        <v>45380</v>
      </c>
      <c r="G11" s="8">
        <v>45385</v>
      </c>
      <c r="H11" s="9">
        <v>50000</v>
      </c>
      <c r="I11" s="9"/>
      <c r="J11" s="6" t="s">
        <v>227</v>
      </c>
      <c r="K11" s="42" t="s">
        <v>44</v>
      </c>
      <c r="L11" s="15" t="s">
        <v>16</v>
      </c>
      <c r="M11" s="47" t="s">
        <v>240</v>
      </c>
      <c r="N11" s="64">
        <v>50000</v>
      </c>
      <c r="O11" s="56"/>
    </row>
    <row r="12" spans="1:15" s="57" customFormat="1">
      <c r="A12" s="5">
        <v>6</v>
      </c>
      <c r="B12" s="6" t="s">
        <v>10</v>
      </c>
      <c r="C12" s="7">
        <v>1002398</v>
      </c>
      <c r="D12" s="6" t="s">
        <v>45</v>
      </c>
      <c r="E12" s="7" t="s">
        <v>46</v>
      </c>
      <c r="F12" s="8">
        <v>45377</v>
      </c>
      <c r="G12" s="8">
        <v>45385</v>
      </c>
      <c r="H12" s="9">
        <v>50000</v>
      </c>
      <c r="I12" s="9"/>
      <c r="J12" s="6"/>
      <c r="K12" s="42" t="s">
        <v>12</v>
      </c>
      <c r="L12" s="15" t="s">
        <v>16</v>
      </c>
      <c r="M12" s="56" t="s">
        <v>239</v>
      </c>
      <c r="N12" s="64">
        <v>50000</v>
      </c>
      <c r="O12" s="56"/>
    </row>
    <row r="13" spans="1:15" s="57" customFormat="1">
      <c r="A13" s="5">
        <v>7</v>
      </c>
      <c r="B13" s="6" t="s">
        <v>10</v>
      </c>
      <c r="C13" s="7">
        <v>1004332</v>
      </c>
      <c r="D13" s="6" t="s">
        <v>47</v>
      </c>
      <c r="E13" s="7" t="s">
        <v>37</v>
      </c>
      <c r="F13" s="8">
        <v>45376</v>
      </c>
      <c r="G13" s="8">
        <v>45385</v>
      </c>
      <c r="H13" s="9">
        <v>100000</v>
      </c>
      <c r="I13" s="9"/>
      <c r="J13" s="6"/>
      <c r="K13" s="42" t="s">
        <v>12</v>
      </c>
      <c r="L13" s="15" t="s">
        <v>16</v>
      </c>
      <c r="M13" s="56" t="s">
        <v>241</v>
      </c>
      <c r="N13" s="64">
        <v>100000</v>
      </c>
      <c r="O13" s="56"/>
    </row>
    <row r="14" spans="1:15" s="57" customFormat="1">
      <c r="A14" s="5">
        <v>8</v>
      </c>
      <c r="B14" s="6" t="s">
        <v>10</v>
      </c>
      <c r="C14" s="7">
        <v>1005920</v>
      </c>
      <c r="D14" s="6" t="s">
        <v>48</v>
      </c>
      <c r="E14" s="7" t="s">
        <v>49</v>
      </c>
      <c r="F14" s="8">
        <v>45374</v>
      </c>
      <c r="G14" s="8">
        <v>45385</v>
      </c>
      <c r="H14" s="9">
        <v>100000</v>
      </c>
      <c r="I14" s="9"/>
      <c r="J14" s="6" t="s">
        <v>228</v>
      </c>
      <c r="K14" s="42" t="s">
        <v>50</v>
      </c>
      <c r="L14" s="15" t="s">
        <v>16</v>
      </c>
      <c r="M14" s="47" t="s">
        <v>242</v>
      </c>
      <c r="N14" s="64">
        <v>50000</v>
      </c>
      <c r="O14" s="56"/>
    </row>
    <row r="15" spans="1:15" s="57" customFormat="1">
      <c r="A15" s="5">
        <v>9</v>
      </c>
      <c r="B15" s="6" t="s">
        <v>10</v>
      </c>
      <c r="C15" s="7">
        <v>1006132</v>
      </c>
      <c r="D15" s="6" t="s">
        <v>51</v>
      </c>
      <c r="E15" s="7" t="s">
        <v>37</v>
      </c>
      <c r="F15" s="8">
        <v>45378</v>
      </c>
      <c r="G15" s="8">
        <v>45385</v>
      </c>
      <c r="H15" s="9">
        <v>50000</v>
      </c>
      <c r="I15" s="9"/>
      <c r="J15" s="6"/>
      <c r="K15" s="42" t="s">
        <v>12</v>
      </c>
      <c r="L15" s="15" t="s">
        <v>16</v>
      </c>
      <c r="M15" s="56" t="s">
        <v>238</v>
      </c>
      <c r="N15" s="64">
        <v>50000</v>
      </c>
      <c r="O15" s="56"/>
    </row>
    <row r="16" spans="1:15" s="57" customFormat="1">
      <c r="A16" s="5">
        <v>10</v>
      </c>
      <c r="B16" s="6" t="s">
        <v>10</v>
      </c>
      <c r="C16" s="7">
        <v>1002678</v>
      </c>
      <c r="D16" s="6" t="s">
        <v>52</v>
      </c>
      <c r="E16" s="7" t="s">
        <v>40</v>
      </c>
      <c r="F16" s="8">
        <v>45384</v>
      </c>
      <c r="G16" s="8">
        <v>45386</v>
      </c>
      <c r="H16" s="9">
        <v>50000</v>
      </c>
      <c r="I16" s="9"/>
      <c r="J16" s="6"/>
      <c r="K16" s="42" t="s">
        <v>12</v>
      </c>
      <c r="L16" s="15" t="s">
        <v>16</v>
      </c>
      <c r="M16" s="56" t="s">
        <v>238</v>
      </c>
      <c r="N16" s="64">
        <v>50000</v>
      </c>
      <c r="O16" s="56"/>
    </row>
    <row r="17" spans="1:15" s="57" customFormat="1">
      <c r="A17" s="5">
        <v>11</v>
      </c>
      <c r="B17" s="6" t="s">
        <v>10</v>
      </c>
      <c r="C17" s="7">
        <v>1003949</v>
      </c>
      <c r="D17" s="6" t="s">
        <v>53</v>
      </c>
      <c r="E17" s="7" t="s">
        <v>42</v>
      </c>
      <c r="F17" s="8">
        <v>45381</v>
      </c>
      <c r="G17" s="8">
        <v>45386</v>
      </c>
      <c r="H17" s="9">
        <v>50000</v>
      </c>
      <c r="I17" s="9"/>
      <c r="J17" s="6"/>
      <c r="K17" s="42" t="s">
        <v>12</v>
      </c>
      <c r="L17" s="15" t="s">
        <v>16</v>
      </c>
      <c r="M17" s="56" t="s">
        <v>238</v>
      </c>
      <c r="N17" s="64">
        <v>50000</v>
      </c>
      <c r="O17" s="56"/>
    </row>
    <row r="18" spans="1:15" s="57" customFormat="1">
      <c r="A18" s="5">
        <v>12</v>
      </c>
      <c r="B18" s="6" t="s">
        <v>10</v>
      </c>
      <c r="C18" s="7">
        <v>1004615</v>
      </c>
      <c r="D18" s="6" t="s">
        <v>54</v>
      </c>
      <c r="E18" s="7" t="s">
        <v>14</v>
      </c>
      <c r="F18" s="8">
        <v>45378</v>
      </c>
      <c r="G18" s="8">
        <v>45386</v>
      </c>
      <c r="H18" s="9">
        <v>50000</v>
      </c>
      <c r="I18" s="9"/>
      <c r="J18" s="6"/>
      <c r="K18" s="42" t="s">
        <v>12</v>
      </c>
      <c r="L18" s="15" t="s">
        <v>16</v>
      </c>
      <c r="M18" s="56" t="s">
        <v>238</v>
      </c>
      <c r="N18" s="64">
        <v>50000</v>
      </c>
      <c r="O18" s="56"/>
    </row>
    <row r="19" spans="1:15" s="57" customFormat="1">
      <c r="A19" s="5">
        <v>13</v>
      </c>
      <c r="B19" s="6" t="s">
        <v>10</v>
      </c>
      <c r="C19" s="7">
        <v>1005530</v>
      </c>
      <c r="D19" s="6" t="s">
        <v>55</v>
      </c>
      <c r="E19" s="7" t="s">
        <v>40</v>
      </c>
      <c r="F19" s="8">
        <v>45372</v>
      </c>
      <c r="G19" s="8">
        <v>45386</v>
      </c>
      <c r="H19" s="9">
        <v>50000</v>
      </c>
      <c r="I19" s="9"/>
      <c r="J19" s="6"/>
      <c r="K19" s="42" t="s">
        <v>12</v>
      </c>
      <c r="L19" s="15" t="s">
        <v>16</v>
      </c>
      <c r="M19" s="56" t="s">
        <v>238</v>
      </c>
      <c r="N19" s="64">
        <v>50000</v>
      </c>
      <c r="O19" s="56"/>
    </row>
    <row r="20" spans="1:15" s="57" customFormat="1">
      <c r="A20" s="5">
        <v>14</v>
      </c>
      <c r="B20" s="6" t="s">
        <v>10</v>
      </c>
      <c r="C20" s="7">
        <v>1000740</v>
      </c>
      <c r="D20" s="6" t="s">
        <v>56</v>
      </c>
      <c r="E20" s="7" t="s">
        <v>42</v>
      </c>
      <c r="F20" s="8">
        <v>45384</v>
      </c>
      <c r="G20" s="8">
        <v>45387</v>
      </c>
      <c r="H20" s="9">
        <v>50000</v>
      </c>
      <c r="I20" s="9"/>
      <c r="J20" s="6"/>
      <c r="K20" s="42" t="s">
        <v>12</v>
      </c>
      <c r="L20" s="15" t="s">
        <v>16</v>
      </c>
      <c r="M20" s="56" t="s">
        <v>238</v>
      </c>
      <c r="N20" s="64">
        <v>50000</v>
      </c>
      <c r="O20" s="56"/>
    </row>
    <row r="21" spans="1:15" s="57" customFormat="1">
      <c r="A21" s="5">
        <v>15</v>
      </c>
      <c r="B21" s="6" t="s">
        <v>10</v>
      </c>
      <c r="C21" s="7">
        <v>1002647</v>
      </c>
      <c r="D21" s="6" t="s">
        <v>57</v>
      </c>
      <c r="E21" s="7" t="s">
        <v>42</v>
      </c>
      <c r="F21" s="8">
        <v>45384</v>
      </c>
      <c r="G21" s="8">
        <v>45387</v>
      </c>
      <c r="H21" s="9">
        <v>50000</v>
      </c>
      <c r="I21" s="9"/>
      <c r="J21" s="6"/>
      <c r="K21" s="42" t="s">
        <v>12</v>
      </c>
      <c r="L21" s="15" t="s">
        <v>16</v>
      </c>
      <c r="M21" s="56" t="s">
        <v>238</v>
      </c>
      <c r="N21" s="64">
        <v>50000</v>
      </c>
      <c r="O21" s="56"/>
    </row>
    <row r="22" spans="1:15" s="57" customFormat="1">
      <c r="A22" s="5">
        <v>16</v>
      </c>
      <c r="B22" s="6" t="s">
        <v>10</v>
      </c>
      <c r="C22" s="7">
        <v>1002853</v>
      </c>
      <c r="D22" s="6" t="s">
        <v>58</v>
      </c>
      <c r="E22" s="7" t="s">
        <v>46</v>
      </c>
      <c r="F22" s="8">
        <v>45379</v>
      </c>
      <c r="G22" s="8">
        <v>45387</v>
      </c>
      <c r="H22" s="9">
        <v>50000</v>
      </c>
      <c r="I22" s="9"/>
      <c r="J22" s="6"/>
      <c r="K22" s="42" t="s">
        <v>12</v>
      </c>
      <c r="L22" s="15" t="s">
        <v>16</v>
      </c>
      <c r="M22" s="56" t="s">
        <v>238</v>
      </c>
      <c r="N22" s="64">
        <v>50000</v>
      </c>
      <c r="O22" s="56"/>
    </row>
    <row r="23" spans="1:15" s="57" customFormat="1">
      <c r="A23" s="5">
        <v>17</v>
      </c>
      <c r="B23" s="6" t="s">
        <v>10</v>
      </c>
      <c r="C23" s="7">
        <v>1003994</v>
      </c>
      <c r="D23" s="6" t="s">
        <v>59</v>
      </c>
      <c r="E23" s="7" t="s">
        <v>49</v>
      </c>
      <c r="F23" s="8">
        <v>45380</v>
      </c>
      <c r="G23" s="8">
        <v>45387</v>
      </c>
      <c r="H23" s="9">
        <v>50000</v>
      </c>
      <c r="I23" s="9"/>
      <c r="J23" s="6"/>
      <c r="K23" s="42" t="s">
        <v>12</v>
      </c>
      <c r="L23" s="15" t="s">
        <v>16</v>
      </c>
      <c r="M23" s="56" t="s">
        <v>238</v>
      </c>
      <c r="N23" s="64">
        <v>50000</v>
      </c>
      <c r="O23" s="56"/>
    </row>
    <row r="24" spans="1:15" s="57" customFormat="1">
      <c r="A24" s="5">
        <v>18</v>
      </c>
      <c r="B24" s="6" t="s">
        <v>10</v>
      </c>
      <c r="C24" s="7">
        <v>1004976</v>
      </c>
      <c r="D24" s="6" t="s">
        <v>60</v>
      </c>
      <c r="E24" s="7" t="s">
        <v>40</v>
      </c>
      <c r="F24" s="8">
        <v>45377</v>
      </c>
      <c r="G24" s="8">
        <v>45387</v>
      </c>
      <c r="H24" s="9">
        <v>50000</v>
      </c>
      <c r="I24" s="9"/>
      <c r="J24" s="6"/>
      <c r="K24" s="42" t="s">
        <v>12</v>
      </c>
      <c r="L24" s="15" t="s">
        <v>16</v>
      </c>
      <c r="M24" s="56" t="s">
        <v>238</v>
      </c>
      <c r="N24" s="64">
        <v>50000</v>
      </c>
      <c r="O24" s="56"/>
    </row>
    <row r="25" spans="1:15" s="57" customFormat="1">
      <c r="A25" s="5">
        <v>19</v>
      </c>
      <c r="B25" s="6" t="s">
        <v>10</v>
      </c>
      <c r="C25" s="7">
        <v>1005782</v>
      </c>
      <c r="D25" s="6" t="s">
        <v>61</v>
      </c>
      <c r="E25" s="7" t="s">
        <v>49</v>
      </c>
      <c r="F25" s="8">
        <v>45378</v>
      </c>
      <c r="G25" s="8">
        <v>45387</v>
      </c>
      <c r="H25" s="9">
        <v>50000</v>
      </c>
      <c r="I25" s="9"/>
      <c r="J25" s="6"/>
      <c r="K25" s="42" t="s">
        <v>12</v>
      </c>
      <c r="L25" s="15" t="s">
        <v>16</v>
      </c>
      <c r="M25" s="56" t="s">
        <v>238</v>
      </c>
      <c r="N25" s="64">
        <v>50000</v>
      </c>
      <c r="O25" s="56"/>
    </row>
    <row r="26" spans="1:15" s="57" customFormat="1">
      <c r="A26" s="5">
        <v>20</v>
      </c>
      <c r="B26" s="6" t="s">
        <v>10</v>
      </c>
      <c r="C26" s="7">
        <v>1006822</v>
      </c>
      <c r="D26" s="6" t="s">
        <v>62</v>
      </c>
      <c r="E26" s="7" t="s">
        <v>40</v>
      </c>
      <c r="F26" s="8">
        <v>45377</v>
      </c>
      <c r="G26" s="8">
        <v>45387</v>
      </c>
      <c r="H26" s="9">
        <v>50000</v>
      </c>
      <c r="I26" s="9"/>
      <c r="J26" s="6"/>
      <c r="K26" s="42" t="s">
        <v>12</v>
      </c>
      <c r="L26" s="15" t="s">
        <v>16</v>
      </c>
      <c r="M26" s="56" t="s">
        <v>238</v>
      </c>
      <c r="N26" s="64">
        <v>50000</v>
      </c>
      <c r="O26" s="56"/>
    </row>
    <row r="27" spans="1:15" s="57" customFormat="1">
      <c r="A27" s="5">
        <v>21</v>
      </c>
      <c r="B27" s="11" t="s">
        <v>15</v>
      </c>
      <c r="C27" s="12">
        <v>1002215</v>
      </c>
      <c r="D27" s="11" t="s">
        <v>63</v>
      </c>
      <c r="E27" s="12" t="s">
        <v>14</v>
      </c>
      <c r="F27" s="13">
        <v>45380</v>
      </c>
      <c r="G27" s="13">
        <v>45388</v>
      </c>
      <c r="H27" s="14">
        <v>50000</v>
      </c>
      <c r="I27" s="14">
        <f>SUM(H27:H41)</f>
        <v>1450000</v>
      </c>
      <c r="J27" s="11"/>
      <c r="K27" s="42" t="s">
        <v>12</v>
      </c>
      <c r="L27" s="15" t="s">
        <v>16</v>
      </c>
      <c r="M27" s="58" t="s">
        <v>239</v>
      </c>
      <c r="N27" s="64">
        <v>50000</v>
      </c>
      <c r="O27" s="56"/>
    </row>
    <row r="28" spans="1:15" s="57" customFormat="1">
      <c r="A28" s="5">
        <v>22</v>
      </c>
      <c r="B28" s="11" t="s">
        <v>15</v>
      </c>
      <c r="C28" s="12">
        <v>1003364</v>
      </c>
      <c r="D28" s="11" t="s">
        <v>64</v>
      </c>
      <c r="E28" s="12" t="s">
        <v>42</v>
      </c>
      <c r="F28" s="13">
        <v>45385</v>
      </c>
      <c r="G28" s="13">
        <v>45388</v>
      </c>
      <c r="H28" s="14">
        <v>50000</v>
      </c>
      <c r="I28" s="14"/>
      <c r="J28" s="11"/>
      <c r="K28" s="42" t="s">
        <v>12</v>
      </c>
      <c r="L28" s="15" t="s">
        <v>16</v>
      </c>
      <c r="M28" s="59" t="s">
        <v>239</v>
      </c>
      <c r="N28" s="64">
        <v>50000</v>
      </c>
      <c r="O28" s="56"/>
    </row>
    <row r="29" spans="1:15" s="57" customFormat="1">
      <c r="A29" s="5">
        <v>23</v>
      </c>
      <c r="B29" s="11" t="s">
        <v>15</v>
      </c>
      <c r="C29" s="12">
        <v>1007098</v>
      </c>
      <c r="D29" s="11" t="s">
        <v>65</v>
      </c>
      <c r="E29" s="12" t="s">
        <v>14</v>
      </c>
      <c r="F29" s="13">
        <v>45386</v>
      </c>
      <c r="G29" s="13">
        <v>45388</v>
      </c>
      <c r="H29" s="14">
        <v>50000</v>
      </c>
      <c r="I29" s="14"/>
      <c r="J29" s="11"/>
      <c r="K29" s="42" t="s">
        <v>12</v>
      </c>
      <c r="L29" s="15" t="s">
        <v>16</v>
      </c>
      <c r="M29" s="58" t="s">
        <v>239</v>
      </c>
      <c r="N29" s="64">
        <v>50000</v>
      </c>
      <c r="O29" s="56"/>
    </row>
    <row r="30" spans="1:15" s="57" customFormat="1">
      <c r="A30" s="5">
        <v>24</v>
      </c>
      <c r="B30" s="11" t="s">
        <v>15</v>
      </c>
      <c r="C30" s="12">
        <v>1005036</v>
      </c>
      <c r="D30" s="11" t="s">
        <v>66</v>
      </c>
      <c r="E30" s="12" t="s">
        <v>46</v>
      </c>
      <c r="F30" s="13">
        <v>45377</v>
      </c>
      <c r="G30" s="13">
        <v>45388</v>
      </c>
      <c r="H30" s="14">
        <v>50000</v>
      </c>
      <c r="I30" s="14"/>
      <c r="J30" s="12" t="s">
        <v>67</v>
      </c>
      <c r="K30" s="42" t="s">
        <v>12</v>
      </c>
      <c r="L30" s="15" t="s">
        <v>16</v>
      </c>
      <c r="M30" s="59" t="s">
        <v>239</v>
      </c>
      <c r="N30" s="64">
        <v>50000</v>
      </c>
      <c r="O30" s="56"/>
    </row>
    <row r="31" spans="1:15" s="57" customFormat="1">
      <c r="A31" s="5">
        <v>25</v>
      </c>
      <c r="B31" s="11" t="s">
        <v>15</v>
      </c>
      <c r="C31" s="12">
        <v>1000555</v>
      </c>
      <c r="D31" s="11" t="s">
        <v>68</v>
      </c>
      <c r="E31" s="12" t="s">
        <v>40</v>
      </c>
      <c r="F31" s="13">
        <v>45385</v>
      </c>
      <c r="G31" s="13">
        <v>45389</v>
      </c>
      <c r="H31" s="14">
        <v>50000</v>
      </c>
      <c r="I31" s="14"/>
      <c r="J31" s="11"/>
      <c r="K31" s="42" t="s">
        <v>12</v>
      </c>
      <c r="L31" s="15" t="s">
        <v>16</v>
      </c>
      <c r="M31" s="59" t="s">
        <v>239</v>
      </c>
      <c r="N31" s="64">
        <v>50000</v>
      </c>
      <c r="O31" s="56"/>
    </row>
    <row r="32" spans="1:15" s="57" customFormat="1">
      <c r="A32" s="5">
        <v>26</v>
      </c>
      <c r="B32" s="11" t="s">
        <v>15</v>
      </c>
      <c r="C32" s="12">
        <v>1003113</v>
      </c>
      <c r="D32" s="11" t="s">
        <v>69</v>
      </c>
      <c r="E32" s="12" t="s">
        <v>42</v>
      </c>
      <c r="F32" s="13">
        <v>45384</v>
      </c>
      <c r="G32" s="13">
        <v>45389</v>
      </c>
      <c r="H32" s="14">
        <v>50000</v>
      </c>
      <c r="I32" s="14"/>
      <c r="J32" s="11"/>
      <c r="K32" s="42" t="s">
        <v>12</v>
      </c>
      <c r="L32" s="15" t="s">
        <v>16</v>
      </c>
      <c r="M32" s="59" t="s">
        <v>239</v>
      </c>
      <c r="N32" s="64">
        <v>50000</v>
      </c>
      <c r="O32" s="56"/>
    </row>
    <row r="33" spans="1:15" s="57" customFormat="1">
      <c r="A33" s="5">
        <v>27</v>
      </c>
      <c r="B33" s="11" t="s">
        <v>15</v>
      </c>
      <c r="C33" s="12">
        <v>1004697</v>
      </c>
      <c r="D33" s="11" t="s">
        <v>70</v>
      </c>
      <c r="E33" s="12" t="s">
        <v>14</v>
      </c>
      <c r="F33" s="13">
        <v>45381</v>
      </c>
      <c r="G33" s="13">
        <v>45389</v>
      </c>
      <c r="H33" s="14">
        <v>50000</v>
      </c>
      <c r="I33" s="14"/>
      <c r="J33" s="11"/>
      <c r="K33" s="42" t="s">
        <v>12</v>
      </c>
      <c r="L33" s="15" t="s">
        <v>16</v>
      </c>
      <c r="M33" s="58" t="s">
        <v>239</v>
      </c>
      <c r="N33" s="64">
        <v>50000</v>
      </c>
      <c r="O33" s="56"/>
    </row>
    <row r="34" spans="1:15" s="57" customFormat="1">
      <c r="A34" s="5">
        <v>28</v>
      </c>
      <c r="B34" s="11" t="s">
        <v>15</v>
      </c>
      <c r="C34" s="12">
        <v>1002029</v>
      </c>
      <c r="D34" s="11" t="s">
        <v>71</v>
      </c>
      <c r="E34" s="12" t="s">
        <v>49</v>
      </c>
      <c r="F34" s="13">
        <v>45385</v>
      </c>
      <c r="G34" s="13">
        <v>45390</v>
      </c>
      <c r="H34" s="14">
        <v>50000</v>
      </c>
      <c r="I34" s="14"/>
      <c r="J34" s="11"/>
      <c r="K34" s="42" t="s">
        <v>12</v>
      </c>
      <c r="L34" s="15" t="s">
        <v>16</v>
      </c>
      <c r="M34" s="59" t="s">
        <v>239</v>
      </c>
      <c r="N34" s="64">
        <v>50000</v>
      </c>
      <c r="O34" s="56"/>
    </row>
    <row r="35" spans="1:15" s="57" customFormat="1">
      <c r="A35" s="5">
        <v>29</v>
      </c>
      <c r="B35" s="11" t="s">
        <v>15</v>
      </c>
      <c r="C35" s="12">
        <v>1004593</v>
      </c>
      <c r="D35" s="11" t="s">
        <v>72</v>
      </c>
      <c r="E35" s="12" t="s">
        <v>49</v>
      </c>
      <c r="F35" s="13">
        <v>45385</v>
      </c>
      <c r="G35" s="13">
        <v>45390</v>
      </c>
      <c r="H35" s="14">
        <v>50000</v>
      </c>
      <c r="I35" s="14"/>
      <c r="J35" s="11"/>
      <c r="K35" s="42" t="s">
        <v>12</v>
      </c>
      <c r="L35" s="15" t="s">
        <v>16</v>
      </c>
      <c r="M35" s="59" t="s">
        <v>239</v>
      </c>
      <c r="N35" s="64">
        <v>50000</v>
      </c>
      <c r="O35" s="56"/>
    </row>
    <row r="36" spans="1:15" s="57" customFormat="1">
      <c r="A36" s="5">
        <v>30</v>
      </c>
      <c r="B36" s="11" t="s">
        <v>15</v>
      </c>
      <c r="C36" s="12">
        <v>1005618</v>
      </c>
      <c r="D36" s="11" t="s">
        <v>73</v>
      </c>
      <c r="E36" s="12" t="s">
        <v>49</v>
      </c>
      <c r="F36" s="13">
        <v>45384</v>
      </c>
      <c r="G36" s="13">
        <v>45390</v>
      </c>
      <c r="H36" s="14">
        <v>300000</v>
      </c>
      <c r="I36" s="14"/>
      <c r="J36" s="23" t="s">
        <v>74</v>
      </c>
      <c r="K36" s="42" t="s">
        <v>75</v>
      </c>
      <c r="L36" s="15" t="s">
        <v>16</v>
      </c>
      <c r="M36" s="59" t="s">
        <v>244</v>
      </c>
      <c r="N36" s="64">
        <v>300000</v>
      </c>
      <c r="O36" s="56"/>
    </row>
    <row r="37" spans="1:15" s="57" customFormat="1">
      <c r="A37" s="5">
        <v>31</v>
      </c>
      <c r="B37" s="11" t="s">
        <v>15</v>
      </c>
      <c r="C37" s="12">
        <v>1006623</v>
      </c>
      <c r="D37" s="11" t="s">
        <v>76</v>
      </c>
      <c r="E37" s="12" t="s">
        <v>42</v>
      </c>
      <c r="F37" s="13">
        <v>45386</v>
      </c>
      <c r="G37" s="13">
        <v>45391</v>
      </c>
      <c r="H37" s="14">
        <v>50000</v>
      </c>
      <c r="I37" s="14"/>
      <c r="J37" s="11"/>
      <c r="K37" s="42" t="s">
        <v>12</v>
      </c>
      <c r="L37" s="15" t="s">
        <v>16</v>
      </c>
      <c r="M37" s="59" t="s">
        <v>239</v>
      </c>
      <c r="N37" s="64">
        <v>50000</v>
      </c>
      <c r="O37" s="56"/>
    </row>
    <row r="38" spans="1:15" s="57" customFormat="1">
      <c r="A38" s="5">
        <v>32</v>
      </c>
      <c r="B38" s="11" t="s">
        <v>15</v>
      </c>
      <c r="C38" s="12">
        <v>1001239</v>
      </c>
      <c r="D38" s="11" t="s">
        <v>77</v>
      </c>
      <c r="E38" s="12" t="s">
        <v>46</v>
      </c>
      <c r="F38" s="13">
        <v>45389</v>
      </c>
      <c r="G38" s="13">
        <v>45392</v>
      </c>
      <c r="H38" s="14">
        <v>500000</v>
      </c>
      <c r="I38" s="14"/>
      <c r="J38" s="11"/>
      <c r="K38" s="43" t="s">
        <v>78</v>
      </c>
      <c r="L38" s="24" t="s">
        <v>20</v>
      </c>
      <c r="M38" s="59" t="s">
        <v>245</v>
      </c>
      <c r="N38" s="64">
        <v>500000</v>
      </c>
      <c r="O38" s="56"/>
    </row>
    <row r="39" spans="1:15" s="57" customFormat="1">
      <c r="A39" s="5">
        <v>33</v>
      </c>
      <c r="B39" s="11" t="s">
        <v>15</v>
      </c>
      <c r="C39" s="12">
        <v>1001274</v>
      </c>
      <c r="D39" s="11" t="s">
        <v>79</v>
      </c>
      <c r="E39" s="12" t="s">
        <v>42</v>
      </c>
      <c r="F39" s="13">
        <v>45387</v>
      </c>
      <c r="G39" s="13">
        <v>45392</v>
      </c>
      <c r="H39" s="14">
        <v>50000</v>
      </c>
      <c r="I39" s="14"/>
      <c r="J39" s="11"/>
      <c r="K39" s="42" t="s">
        <v>12</v>
      </c>
      <c r="L39" s="15" t="s">
        <v>16</v>
      </c>
      <c r="M39" s="59" t="s">
        <v>239</v>
      </c>
      <c r="N39" s="64">
        <v>50000</v>
      </c>
      <c r="O39" s="56"/>
    </row>
    <row r="40" spans="1:15" s="57" customFormat="1">
      <c r="A40" s="5">
        <v>34</v>
      </c>
      <c r="B40" s="11" t="s">
        <v>15</v>
      </c>
      <c r="C40" s="12">
        <v>1002135</v>
      </c>
      <c r="D40" s="11" t="s">
        <v>80</v>
      </c>
      <c r="E40" s="12" t="s">
        <v>81</v>
      </c>
      <c r="F40" s="13">
        <v>45390</v>
      </c>
      <c r="G40" s="13">
        <v>45392</v>
      </c>
      <c r="H40" s="14">
        <v>50000</v>
      </c>
      <c r="I40" s="14"/>
      <c r="J40" s="11"/>
      <c r="K40" s="42" t="s">
        <v>12</v>
      </c>
      <c r="L40" s="15" t="s">
        <v>16</v>
      </c>
      <c r="M40" s="59" t="s">
        <v>239</v>
      </c>
      <c r="N40" s="64">
        <v>50000</v>
      </c>
      <c r="O40" s="56"/>
    </row>
    <row r="41" spans="1:15" s="57" customFormat="1">
      <c r="A41" s="5">
        <v>35</v>
      </c>
      <c r="B41" s="11" t="s">
        <v>15</v>
      </c>
      <c r="C41" s="12">
        <v>1004711</v>
      </c>
      <c r="D41" s="11" t="s">
        <v>82</v>
      </c>
      <c r="E41" s="12" t="s">
        <v>40</v>
      </c>
      <c r="F41" s="13">
        <v>45389</v>
      </c>
      <c r="G41" s="13">
        <v>45392</v>
      </c>
      <c r="H41" s="14">
        <v>50000</v>
      </c>
      <c r="I41" s="14"/>
      <c r="J41" s="11"/>
      <c r="K41" s="42" t="s">
        <v>12</v>
      </c>
      <c r="L41" s="15" t="s">
        <v>16</v>
      </c>
      <c r="M41" s="59" t="s">
        <v>239</v>
      </c>
      <c r="N41" s="64">
        <v>50000</v>
      </c>
      <c r="O41" s="56"/>
    </row>
    <row r="42" spans="1:15" s="57" customFormat="1">
      <c r="A42" s="5">
        <v>36</v>
      </c>
      <c r="B42" s="6" t="s">
        <v>17</v>
      </c>
      <c r="C42" s="7">
        <v>1005326</v>
      </c>
      <c r="D42" s="6" t="s">
        <v>83</v>
      </c>
      <c r="E42" s="7" t="s">
        <v>81</v>
      </c>
      <c r="F42" s="8">
        <v>45388</v>
      </c>
      <c r="G42" s="8">
        <v>45393</v>
      </c>
      <c r="H42" s="9">
        <v>50000</v>
      </c>
      <c r="I42" s="9">
        <f>SUM(H42:H50)</f>
        <v>650000</v>
      </c>
      <c r="J42" s="6"/>
      <c r="K42" s="42" t="s">
        <v>12</v>
      </c>
      <c r="L42" s="16" t="s">
        <v>16</v>
      </c>
      <c r="M42" s="46" t="s">
        <v>239</v>
      </c>
      <c r="N42" s="64">
        <v>50000</v>
      </c>
      <c r="O42" s="56"/>
    </row>
    <row r="43" spans="1:15" s="57" customFormat="1">
      <c r="A43" s="5">
        <v>37</v>
      </c>
      <c r="B43" s="6" t="s">
        <v>17</v>
      </c>
      <c r="C43" s="7">
        <v>1002805</v>
      </c>
      <c r="D43" s="6" t="s">
        <v>84</v>
      </c>
      <c r="E43" s="7" t="s">
        <v>42</v>
      </c>
      <c r="F43" s="8">
        <v>45385</v>
      </c>
      <c r="G43" s="8">
        <v>45394</v>
      </c>
      <c r="H43" s="9">
        <v>100000</v>
      </c>
      <c r="I43" s="9"/>
      <c r="J43" s="6"/>
      <c r="K43" s="42" t="s">
        <v>12</v>
      </c>
      <c r="L43" s="16" t="s">
        <v>16</v>
      </c>
      <c r="M43" s="46" t="s">
        <v>246</v>
      </c>
      <c r="N43" s="64">
        <v>100000</v>
      </c>
      <c r="O43" s="56"/>
    </row>
    <row r="44" spans="1:15" s="57" customFormat="1">
      <c r="A44" s="5">
        <v>38</v>
      </c>
      <c r="B44" s="6" t="s">
        <v>17</v>
      </c>
      <c r="C44" s="7">
        <v>1005557</v>
      </c>
      <c r="D44" s="6" t="s">
        <v>85</v>
      </c>
      <c r="E44" s="7" t="s">
        <v>40</v>
      </c>
      <c r="F44" s="8">
        <v>45390</v>
      </c>
      <c r="G44" s="8">
        <v>45394</v>
      </c>
      <c r="H44" s="9">
        <v>200000</v>
      </c>
      <c r="I44" s="9"/>
      <c r="J44" s="6"/>
      <c r="K44" s="42" t="s">
        <v>12</v>
      </c>
      <c r="L44" s="16" t="s">
        <v>16</v>
      </c>
      <c r="M44" s="46" t="s">
        <v>247</v>
      </c>
      <c r="N44" s="64">
        <v>200000</v>
      </c>
      <c r="O44" s="56"/>
    </row>
    <row r="45" spans="1:15" s="57" customFormat="1">
      <c r="A45" s="5">
        <v>39</v>
      </c>
      <c r="B45" s="6" t="s">
        <v>17</v>
      </c>
      <c r="C45" s="7">
        <v>1007082</v>
      </c>
      <c r="D45" s="6" t="s">
        <v>86</v>
      </c>
      <c r="E45" s="7" t="s">
        <v>40</v>
      </c>
      <c r="F45" s="8">
        <v>45386</v>
      </c>
      <c r="G45" s="8">
        <v>45394</v>
      </c>
      <c r="H45" s="9">
        <v>50000</v>
      </c>
      <c r="I45" s="9"/>
      <c r="J45" s="6"/>
      <c r="K45" s="42" t="s">
        <v>12</v>
      </c>
      <c r="L45" s="16" t="s">
        <v>16</v>
      </c>
      <c r="M45" s="46" t="s">
        <v>239</v>
      </c>
      <c r="N45" s="64">
        <v>50000</v>
      </c>
      <c r="O45" s="56"/>
    </row>
    <row r="46" spans="1:15" s="57" customFormat="1">
      <c r="A46" s="5">
        <v>40</v>
      </c>
      <c r="B46" s="6" t="s">
        <v>17</v>
      </c>
      <c r="C46" s="7">
        <v>1004854</v>
      </c>
      <c r="D46" s="6" t="s">
        <v>87</v>
      </c>
      <c r="E46" s="7" t="s">
        <v>49</v>
      </c>
      <c r="F46" s="8">
        <v>45388</v>
      </c>
      <c r="G46" s="8">
        <v>45395</v>
      </c>
      <c r="H46" s="9">
        <v>50000</v>
      </c>
      <c r="I46" s="9"/>
      <c r="J46" s="6"/>
      <c r="K46" s="42" t="s">
        <v>12</v>
      </c>
      <c r="L46" s="16" t="s">
        <v>16</v>
      </c>
      <c r="M46" s="46" t="s">
        <v>239</v>
      </c>
      <c r="N46" s="64">
        <v>50000</v>
      </c>
      <c r="O46" s="56"/>
    </row>
    <row r="47" spans="1:15" s="57" customFormat="1">
      <c r="A47" s="5">
        <v>41</v>
      </c>
      <c r="B47" s="6" t="s">
        <v>17</v>
      </c>
      <c r="C47" s="7">
        <v>1005918</v>
      </c>
      <c r="D47" s="6" t="s">
        <v>88</v>
      </c>
      <c r="E47" s="7" t="s">
        <v>49</v>
      </c>
      <c r="F47" s="8">
        <v>45389</v>
      </c>
      <c r="G47" s="8">
        <v>45395</v>
      </c>
      <c r="H47" s="9">
        <v>50000</v>
      </c>
      <c r="I47" s="9"/>
      <c r="J47" s="6"/>
      <c r="K47" s="42" t="s">
        <v>12</v>
      </c>
      <c r="L47" s="16" t="s">
        <v>16</v>
      </c>
      <c r="M47" s="46" t="s">
        <v>239</v>
      </c>
      <c r="N47" s="64">
        <v>50000</v>
      </c>
      <c r="O47" s="56"/>
    </row>
    <row r="48" spans="1:15" s="57" customFormat="1">
      <c r="A48" s="5">
        <v>42</v>
      </c>
      <c r="B48" s="6" t="s">
        <v>17</v>
      </c>
      <c r="C48" s="7">
        <v>1001307</v>
      </c>
      <c r="D48" s="6" t="s">
        <v>89</v>
      </c>
      <c r="E48" s="7" t="s">
        <v>11</v>
      </c>
      <c r="F48" s="8">
        <v>45390</v>
      </c>
      <c r="G48" s="8">
        <v>45399</v>
      </c>
      <c r="H48" s="9">
        <v>50000</v>
      </c>
      <c r="I48" s="9"/>
      <c r="J48" s="6" t="s">
        <v>229</v>
      </c>
      <c r="K48" s="42" t="s">
        <v>90</v>
      </c>
      <c r="L48" s="16" t="s">
        <v>16</v>
      </c>
      <c r="M48" s="46" t="s">
        <v>248</v>
      </c>
      <c r="N48" s="64">
        <v>50000</v>
      </c>
      <c r="O48" s="56"/>
    </row>
    <row r="49" spans="1:15" s="57" customFormat="1">
      <c r="A49" s="5">
        <v>43</v>
      </c>
      <c r="B49" s="6" t="s">
        <v>17</v>
      </c>
      <c r="C49" s="7">
        <v>1005100</v>
      </c>
      <c r="D49" s="6" t="s">
        <v>91</v>
      </c>
      <c r="E49" s="7" t="s">
        <v>40</v>
      </c>
      <c r="F49" s="8">
        <v>45391</v>
      </c>
      <c r="G49" s="8">
        <v>45399</v>
      </c>
      <c r="H49" s="9">
        <v>50000</v>
      </c>
      <c r="I49" s="9"/>
      <c r="J49" s="6"/>
      <c r="K49" s="42" t="s">
        <v>12</v>
      </c>
      <c r="L49" s="16" t="s">
        <v>16</v>
      </c>
      <c r="M49" s="46" t="s">
        <v>239</v>
      </c>
      <c r="N49" s="64">
        <v>50000</v>
      </c>
      <c r="O49" s="56"/>
    </row>
    <row r="50" spans="1:15" s="57" customFormat="1">
      <c r="A50" s="5">
        <v>44</v>
      </c>
      <c r="B50" s="6" t="s">
        <v>17</v>
      </c>
      <c r="C50" s="7">
        <v>1005607</v>
      </c>
      <c r="D50" s="6" t="s">
        <v>92</v>
      </c>
      <c r="E50" s="7" t="s">
        <v>14</v>
      </c>
      <c r="F50" s="8">
        <v>45387</v>
      </c>
      <c r="G50" s="8">
        <v>45399</v>
      </c>
      <c r="H50" s="9">
        <v>50000</v>
      </c>
      <c r="I50" s="9"/>
      <c r="J50" s="6"/>
      <c r="K50" s="42" t="s">
        <v>12</v>
      </c>
      <c r="L50" s="16" t="s">
        <v>16</v>
      </c>
      <c r="M50" s="46" t="s">
        <v>239</v>
      </c>
      <c r="N50" s="64">
        <v>50000</v>
      </c>
      <c r="O50" s="56"/>
    </row>
    <row r="51" spans="1:15" s="57" customFormat="1">
      <c r="A51" s="5">
        <v>45</v>
      </c>
      <c r="B51" s="11" t="s">
        <v>18</v>
      </c>
      <c r="C51" s="12">
        <v>1001255</v>
      </c>
      <c r="D51" s="11" t="s">
        <v>93</v>
      </c>
      <c r="E51" s="12" t="s">
        <v>46</v>
      </c>
      <c r="F51" s="13">
        <v>45318</v>
      </c>
      <c r="G51" s="13">
        <v>45325</v>
      </c>
      <c r="H51" s="14">
        <v>50000</v>
      </c>
      <c r="I51" s="14">
        <f>SUM(H51:H52)</f>
        <v>100000</v>
      </c>
      <c r="J51" s="12" t="s">
        <v>19</v>
      </c>
      <c r="K51" s="43" t="s">
        <v>94</v>
      </c>
      <c r="L51" s="4" t="s">
        <v>20</v>
      </c>
      <c r="M51" s="46" t="s">
        <v>245</v>
      </c>
      <c r="N51" s="64">
        <v>50000</v>
      </c>
      <c r="O51" s="56"/>
    </row>
    <row r="52" spans="1:15" s="57" customFormat="1">
      <c r="A52" s="5">
        <v>46</v>
      </c>
      <c r="B52" s="11" t="s">
        <v>18</v>
      </c>
      <c r="C52" s="12">
        <v>1002353</v>
      </c>
      <c r="D52" s="11" t="s">
        <v>95</v>
      </c>
      <c r="E52" s="12" t="s">
        <v>96</v>
      </c>
      <c r="F52" s="13">
        <v>45330</v>
      </c>
      <c r="G52" s="13">
        <v>45335</v>
      </c>
      <c r="H52" s="14">
        <v>50000</v>
      </c>
      <c r="I52" s="14"/>
      <c r="J52" s="12" t="s">
        <v>19</v>
      </c>
      <c r="K52" s="42" t="s">
        <v>12</v>
      </c>
      <c r="L52" s="16" t="s">
        <v>16</v>
      </c>
      <c r="M52" s="46" t="s">
        <v>239</v>
      </c>
      <c r="N52" s="64">
        <v>50000</v>
      </c>
      <c r="O52" s="56"/>
    </row>
    <row r="53" spans="1:15" s="57" customFormat="1">
      <c r="A53" s="5">
        <v>47</v>
      </c>
      <c r="B53" s="6" t="s">
        <v>21</v>
      </c>
      <c r="C53" s="7">
        <v>1001523</v>
      </c>
      <c r="D53" s="6" t="s">
        <v>97</v>
      </c>
      <c r="E53" s="7" t="s">
        <v>42</v>
      </c>
      <c r="F53" s="8">
        <v>45390</v>
      </c>
      <c r="G53" s="8">
        <v>45402</v>
      </c>
      <c r="H53" s="9">
        <v>50000</v>
      </c>
      <c r="I53" s="9">
        <f>SUM(H53:H63)</f>
        <v>550000</v>
      </c>
      <c r="J53" s="6"/>
      <c r="K53" s="42" t="s">
        <v>12</v>
      </c>
      <c r="L53" s="16" t="s">
        <v>16</v>
      </c>
      <c r="M53" s="47" t="s">
        <v>239</v>
      </c>
      <c r="N53" s="64">
        <v>50000</v>
      </c>
      <c r="O53" s="56"/>
    </row>
    <row r="54" spans="1:15" s="57" customFormat="1">
      <c r="A54" s="5">
        <v>48</v>
      </c>
      <c r="B54" s="6" t="s">
        <v>21</v>
      </c>
      <c r="C54" s="7">
        <v>1005957</v>
      </c>
      <c r="D54" s="6" t="s">
        <v>98</v>
      </c>
      <c r="E54" s="7" t="s">
        <v>42</v>
      </c>
      <c r="F54" s="8">
        <v>45393</v>
      </c>
      <c r="G54" s="8">
        <v>45402</v>
      </c>
      <c r="H54" s="9">
        <v>50000</v>
      </c>
      <c r="I54" s="9"/>
      <c r="J54" s="6"/>
      <c r="K54" s="42" t="s">
        <v>12</v>
      </c>
      <c r="L54" s="16" t="s">
        <v>16</v>
      </c>
      <c r="M54" s="47" t="s">
        <v>239</v>
      </c>
      <c r="N54" s="64">
        <v>50000</v>
      </c>
      <c r="O54" s="56"/>
    </row>
    <row r="55" spans="1:15" s="57" customFormat="1">
      <c r="A55" s="5">
        <v>49</v>
      </c>
      <c r="B55" s="6" t="s">
        <v>21</v>
      </c>
      <c r="C55" s="7">
        <v>1008243</v>
      </c>
      <c r="D55" s="6" t="s">
        <v>99</v>
      </c>
      <c r="E55" s="7" t="s">
        <v>46</v>
      </c>
      <c r="F55" s="8">
        <v>45394</v>
      </c>
      <c r="G55" s="8">
        <v>45402</v>
      </c>
      <c r="H55" s="9">
        <v>50000</v>
      </c>
      <c r="I55" s="9"/>
      <c r="J55" s="6"/>
      <c r="K55" s="42" t="s">
        <v>12</v>
      </c>
      <c r="L55" s="16" t="s">
        <v>16</v>
      </c>
      <c r="M55" s="47" t="s">
        <v>239</v>
      </c>
      <c r="N55" s="64">
        <v>50000</v>
      </c>
      <c r="O55" s="56"/>
    </row>
    <row r="56" spans="1:15" s="57" customFormat="1">
      <c r="A56" s="5">
        <v>50</v>
      </c>
      <c r="B56" s="6" t="s">
        <v>21</v>
      </c>
      <c r="C56" s="7">
        <v>1002992</v>
      </c>
      <c r="D56" s="6" t="s">
        <v>100</v>
      </c>
      <c r="E56" s="7" t="s">
        <v>49</v>
      </c>
      <c r="F56" s="8">
        <v>45391</v>
      </c>
      <c r="G56" s="8">
        <v>45403</v>
      </c>
      <c r="H56" s="9">
        <v>50000</v>
      </c>
      <c r="I56" s="9"/>
      <c r="J56" s="6"/>
      <c r="K56" s="42" t="s">
        <v>12</v>
      </c>
      <c r="L56" s="16" t="s">
        <v>16</v>
      </c>
      <c r="M56" s="47" t="s">
        <v>239</v>
      </c>
      <c r="N56" s="64">
        <v>50000</v>
      </c>
      <c r="O56" s="56"/>
    </row>
    <row r="57" spans="1:15" s="57" customFormat="1">
      <c r="A57" s="5">
        <v>51</v>
      </c>
      <c r="B57" s="6" t="s">
        <v>21</v>
      </c>
      <c r="C57" s="7">
        <v>1006461</v>
      </c>
      <c r="D57" s="6" t="s">
        <v>101</v>
      </c>
      <c r="E57" s="7" t="s">
        <v>42</v>
      </c>
      <c r="F57" s="8">
        <v>45389</v>
      </c>
      <c r="G57" s="8">
        <v>45403</v>
      </c>
      <c r="H57" s="9">
        <v>50000</v>
      </c>
      <c r="I57" s="9"/>
      <c r="J57" s="6" t="s">
        <v>228</v>
      </c>
      <c r="K57" s="42" t="s">
        <v>102</v>
      </c>
      <c r="L57" s="16" t="s">
        <v>16</v>
      </c>
      <c r="M57" s="47" t="s">
        <v>249</v>
      </c>
      <c r="N57" s="64">
        <v>50000</v>
      </c>
      <c r="O57" s="56"/>
    </row>
    <row r="58" spans="1:15" s="57" customFormat="1">
      <c r="A58" s="5">
        <v>52</v>
      </c>
      <c r="B58" s="6" t="s">
        <v>21</v>
      </c>
      <c r="C58" s="7">
        <v>1009515</v>
      </c>
      <c r="D58" s="6" t="s">
        <v>103</v>
      </c>
      <c r="E58" s="7" t="s">
        <v>42</v>
      </c>
      <c r="F58" s="8">
        <v>45387</v>
      </c>
      <c r="G58" s="8">
        <v>45403</v>
      </c>
      <c r="H58" s="9">
        <v>50000</v>
      </c>
      <c r="I58" s="9"/>
      <c r="J58" s="6"/>
      <c r="K58" s="42" t="s">
        <v>12</v>
      </c>
      <c r="L58" s="16" t="s">
        <v>16</v>
      </c>
      <c r="M58" s="47" t="s">
        <v>239</v>
      </c>
      <c r="N58" s="64">
        <v>50000</v>
      </c>
      <c r="O58" s="56"/>
    </row>
    <row r="59" spans="1:15" s="57" customFormat="1">
      <c r="A59" s="5">
        <v>53</v>
      </c>
      <c r="B59" s="6" t="s">
        <v>21</v>
      </c>
      <c r="C59" s="7">
        <v>1005314</v>
      </c>
      <c r="D59" s="6" t="s">
        <v>104</v>
      </c>
      <c r="E59" s="7" t="s">
        <v>81</v>
      </c>
      <c r="F59" s="8">
        <v>45394</v>
      </c>
      <c r="G59" s="8">
        <v>45404</v>
      </c>
      <c r="H59" s="9">
        <v>50000</v>
      </c>
      <c r="I59" s="9"/>
      <c r="J59" s="6"/>
      <c r="K59" s="42" t="s">
        <v>12</v>
      </c>
      <c r="L59" s="16" t="s">
        <v>16</v>
      </c>
      <c r="M59" s="47" t="s">
        <v>239</v>
      </c>
      <c r="N59" s="64">
        <v>50000</v>
      </c>
      <c r="O59" s="56"/>
    </row>
    <row r="60" spans="1:15" s="57" customFormat="1">
      <c r="A60" s="5">
        <v>54</v>
      </c>
      <c r="B60" s="6" t="s">
        <v>21</v>
      </c>
      <c r="C60" s="7">
        <v>1006835</v>
      </c>
      <c r="D60" s="6" t="s">
        <v>105</v>
      </c>
      <c r="E60" s="7" t="s">
        <v>40</v>
      </c>
      <c r="F60" s="8">
        <v>45387</v>
      </c>
      <c r="G60" s="8">
        <v>45404</v>
      </c>
      <c r="H60" s="9">
        <v>50000</v>
      </c>
      <c r="I60" s="9"/>
      <c r="J60" s="6"/>
      <c r="K60" s="42" t="s">
        <v>12</v>
      </c>
      <c r="L60" s="16" t="s">
        <v>16</v>
      </c>
      <c r="M60" s="47" t="s">
        <v>239</v>
      </c>
      <c r="N60" s="64">
        <v>50000</v>
      </c>
      <c r="O60" s="56"/>
    </row>
    <row r="61" spans="1:15" s="57" customFormat="1">
      <c r="A61" s="5">
        <v>55</v>
      </c>
      <c r="B61" s="6" t="s">
        <v>21</v>
      </c>
      <c r="C61" s="7">
        <v>1002605</v>
      </c>
      <c r="D61" s="6" t="s">
        <v>106</v>
      </c>
      <c r="E61" s="7" t="s">
        <v>14</v>
      </c>
      <c r="F61" s="8">
        <v>45391</v>
      </c>
      <c r="G61" s="8">
        <v>45405</v>
      </c>
      <c r="H61" s="9">
        <v>50000</v>
      </c>
      <c r="I61" s="9"/>
      <c r="J61" s="6"/>
      <c r="K61" s="42" t="s">
        <v>12</v>
      </c>
      <c r="L61" s="16" t="s">
        <v>16</v>
      </c>
      <c r="M61" s="47" t="s">
        <v>239</v>
      </c>
      <c r="N61" s="64">
        <v>50000</v>
      </c>
      <c r="O61" s="56"/>
    </row>
    <row r="62" spans="1:15" s="57" customFormat="1">
      <c r="A62" s="5">
        <v>56</v>
      </c>
      <c r="B62" s="6" t="s">
        <v>21</v>
      </c>
      <c r="C62" s="7">
        <v>1002652</v>
      </c>
      <c r="D62" s="6" t="s">
        <v>107</v>
      </c>
      <c r="E62" s="7" t="s">
        <v>49</v>
      </c>
      <c r="F62" s="8">
        <v>45395</v>
      </c>
      <c r="G62" s="8">
        <v>45405</v>
      </c>
      <c r="H62" s="9">
        <v>50000</v>
      </c>
      <c r="I62" s="9"/>
      <c r="J62" s="6"/>
      <c r="K62" s="42" t="s">
        <v>12</v>
      </c>
      <c r="L62" s="16" t="s">
        <v>16</v>
      </c>
      <c r="M62" s="47" t="s">
        <v>239</v>
      </c>
      <c r="N62" s="64">
        <v>50000</v>
      </c>
      <c r="O62" s="56"/>
    </row>
    <row r="63" spans="1:15" s="57" customFormat="1">
      <c r="A63" s="5">
        <v>57</v>
      </c>
      <c r="B63" s="6" t="s">
        <v>21</v>
      </c>
      <c r="C63" s="7">
        <v>1000192</v>
      </c>
      <c r="D63" s="6" t="s">
        <v>108</v>
      </c>
      <c r="E63" s="7" t="s">
        <v>42</v>
      </c>
      <c r="F63" s="8">
        <v>45394</v>
      </c>
      <c r="G63" s="8">
        <v>45405</v>
      </c>
      <c r="H63" s="9">
        <v>50000</v>
      </c>
      <c r="I63" s="9"/>
      <c r="J63" s="7" t="s">
        <v>67</v>
      </c>
      <c r="K63" s="42" t="s">
        <v>12</v>
      </c>
      <c r="L63" s="16" t="s">
        <v>16</v>
      </c>
      <c r="M63" s="47" t="s">
        <v>239</v>
      </c>
      <c r="N63" s="64">
        <v>50000</v>
      </c>
      <c r="O63" s="56"/>
    </row>
    <row r="64" spans="1:15" s="57" customFormat="1">
      <c r="A64" s="5">
        <v>58</v>
      </c>
      <c r="B64" s="11" t="s">
        <v>22</v>
      </c>
      <c r="C64" s="12">
        <v>1000917</v>
      </c>
      <c r="D64" s="11" t="s">
        <v>109</v>
      </c>
      <c r="E64" s="12" t="s">
        <v>42</v>
      </c>
      <c r="F64" s="13">
        <v>45393</v>
      </c>
      <c r="G64" s="13">
        <v>45406</v>
      </c>
      <c r="H64" s="14">
        <v>50000</v>
      </c>
      <c r="I64" s="14">
        <f>SUM(H64:H72)</f>
        <v>600000</v>
      </c>
      <c r="J64" s="11"/>
      <c r="K64" s="42" t="s">
        <v>12</v>
      </c>
      <c r="L64" s="16" t="s">
        <v>16</v>
      </c>
      <c r="M64" s="48" t="s">
        <v>239</v>
      </c>
      <c r="N64" s="49">
        <v>50000</v>
      </c>
      <c r="O64" s="56"/>
    </row>
    <row r="65" spans="1:15" s="57" customFormat="1">
      <c r="A65" s="5">
        <v>59</v>
      </c>
      <c r="B65" s="11" t="s">
        <v>22</v>
      </c>
      <c r="C65" s="12">
        <v>1000579</v>
      </c>
      <c r="D65" s="11" t="s">
        <v>110</v>
      </c>
      <c r="E65" s="12" t="s">
        <v>40</v>
      </c>
      <c r="F65" s="13">
        <v>45398</v>
      </c>
      <c r="G65" s="13">
        <v>45408</v>
      </c>
      <c r="H65" s="14">
        <v>50000</v>
      </c>
      <c r="I65" s="14"/>
      <c r="J65" s="11"/>
      <c r="K65" s="42" t="s">
        <v>12</v>
      </c>
      <c r="L65" s="16" t="s">
        <v>16</v>
      </c>
      <c r="M65" s="48" t="s">
        <v>239</v>
      </c>
      <c r="N65" s="49">
        <v>50000</v>
      </c>
      <c r="O65" s="56"/>
    </row>
    <row r="66" spans="1:15" s="57" customFormat="1">
      <c r="A66" s="5">
        <v>60</v>
      </c>
      <c r="B66" s="11" t="s">
        <v>22</v>
      </c>
      <c r="C66" s="12">
        <v>1001365</v>
      </c>
      <c r="D66" s="11" t="s">
        <v>111</v>
      </c>
      <c r="E66" s="12" t="s">
        <v>42</v>
      </c>
      <c r="F66" s="13">
        <v>45399</v>
      </c>
      <c r="G66" s="13">
        <v>45408</v>
      </c>
      <c r="H66" s="14">
        <v>100000</v>
      </c>
      <c r="I66" s="14"/>
      <c r="J66" s="11"/>
      <c r="K66" s="42" t="s">
        <v>12</v>
      </c>
      <c r="L66" s="16" t="s">
        <v>16</v>
      </c>
      <c r="M66" s="48" t="s">
        <v>246</v>
      </c>
      <c r="N66" s="49">
        <v>100000</v>
      </c>
      <c r="O66" s="56"/>
    </row>
    <row r="67" spans="1:15" s="57" customFormat="1">
      <c r="A67" s="5">
        <v>61</v>
      </c>
      <c r="B67" s="11" t="s">
        <v>22</v>
      </c>
      <c r="C67" s="12">
        <v>1003071</v>
      </c>
      <c r="D67" s="11" t="s">
        <v>112</v>
      </c>
      <c r="E67" s="12" t="s">
        <v>11</v>
      </c>
      <c r="F67" s="13">
        <v>45402</v>
      </c>
      <c r="G67" s="13">
        <v>45408</v>
      </c>
      <c r="H67" s="14">
        <v>50000</v>
      </c>
      <c r="I67" s="14"/>
      <c r="J67" s="11"/>
      <c r="K67" s="42" t="s">
        <v>12</v>
      </c>
      <c r="L67" s="16" t="s">
        <v>16</v>
      </c>
      <c r="M67" s="48" t="s">
        <v>239</v>
      </c>
      <c r="N67" s="49">
        <v>50000</v>
      </c>
      <c r="O67" s="56"/>
    </row>
    <row r="68" spans="1:15" s="57" customFormat="1">
      <c r="A68" s="5">
        <v>62</v>
      </c>
      <c r="B68" s="11" t="s">
        <v>22</v>
      </c>
      <c r="C68" s="12">
        <v>1003602</v>
      </c>
      <c r="D68" s="11" t="s">
        <v>113</v>
      </c>
      <c r="E68" s="12" t="s">
        <v>11</v>
      </c>
      <c r="F68" s="13">
        <v>45387</v>
      </c>
      <c r="G68" s="13">
        <v>45408</v>
      </c>
      <c r="H68" s="14">
        <v>100000</v>
      </c>
      <c r="I68" s="14"/>
      <c r="J68" s="11"/>
      <c r="K68" s="43" t="s">
        <v>114</v>
      </c>
      <c r="L68" s="4" t="s">
        <v>20</v>
      </c>
      <c r="M68" s="48" t="s">
        <v>250</v>
      </c>
      <c r="N68" s="50">
        <v>100000</v>
      </c>
      <c r="O68" s="56"/>
    </row>
    <row r="69" spans="1:15" s="57" customFormat="1">
      <c r="A69" s="5">
        <v>63</v>
      </c>
      <c r="B69" s="11" t="s">
        <v>22</v>
      </c>
      <c r="C69" s="12">
        <v>1004249</v>
      </c>
      <c r="D69" s="11" t="s">
        <v>115</v>
      </c>
      <c r="E69" s="12" t="s">
        <v>40</v>
      </c>
      <c r="F69" s="13">
        <v>45402</v>
      </c>
      <c r="G69" s="13">
        <v>45408</v>
      </c>
      <c r="H69" s="14">
        <v>50000</v>
      </c>
      <c r="I69" s="14"/>
      <c r="J69" s="11"/>
      <c r="K69" s="42" t="s">
        <v>12</v>
      </c>
      <c r="L69" s="16" t="s">
        <v>16</v>
      </c>
      <c r="M69" s="48" t="s">
        <v>239</v>
      </c>
      <c r="N69" s="49">
        <v>50000</v>
      </c>
      <c r="O69" s="56"/>
    </row>
    <row r="70" spans="1:15" s="57" customFormat="1">
      <c r="A70" s="5">
        <v>64</v>
      </c>
      <c r="B70" s="11" t="s">
        <v>22</v>
      </c>
      <c r="C70" s="12">
        <v>1002078</v>
      </c>
      <c r="D70" s="11" t="s">
        <v>116</v>
      </c>
      <c r="E70" s="12" t="s">
        <v>40</v>
      </c>
      <c r="F70" s="13">
        <v>45398</v>
      </c>
      <c r="G70" s="13">
        <v>45409</v>
      </c>
      <c r="H70" s="14">
        <v>50000</v>
      </c>
      <c r="I70" s="14"/>
      <c r="J70" s="11"/>
      <c r="K70" s="42" t="s">
        <v>12</v>
      </c>
      <c r="L70" s="16" t="s">
        <v>16</v>
      </c>
      <c r="M70" s="48" t="s">
        <v>239</v>
      </c>
      <c r="N70" s="49">
        <v>50000</v>
      </c>
      <c r="O70" s="56"/>
    </row>
    <row r="71" spans="1:15" s="57" customFormat="1">
      <c r="A71" s="5">
        <v>65</v>
      </c>
      <c r="B71" s="11" t="s">
        <v>22</v>
      </c>
      <c r="C71" s="12">
        <v>1002756</v>
      </c>
      <c r="D71" s="11" t="s">
        <v>117</v>
      </c>
      <c r="E71" s="12" t="s">
        <v>37</v>
      </c>
      <c r="F71" s="13">
        <v>45402</v>
      </c>
      <c r="G71" s="13">
        <v>45409</v>
      </c>
      <c r="H71" s="14">
        <v>50000</v>
      </c>
      <c r="I71" s="14"/>
      <c r="J71" s="11"/>
      <c r="K71" s="42" t="s">
        <v>12</v>
      </c>
      <c r="L71" s="16" t="s">
        <v>16</v>
      </c>
      <c r="M71" s="48" t="s">
        <v>239</v>
      </c>
      <c r="N71" s="49">
        <v>50000</v>
      </c>
      <c r="O71" s="56"/>
    </row>
    <row r="72" spans="1:15" s="57" customFormat="1">
      <c r="A72" s="5">
        <v>66</v>
      </c>
      <c r="B72" s="11" t="s">
        <v>22</v>
      </c>
      <c r="C72" s="12">
        <v>1007422</v>
      </c>
      <c r="D72" s="11" t="s">
        <v>118</v>
      </c>
      <c r="E72" s="12" t="s">
        <v>37</v>
      </c>
      <c r="F72" s="13">
        <v>45399</v>
      </c>
      <c r="G72" s="13">
        <v>45409</v>
      </c>
      <c r="H72" s="14">
        <v>100000</v>
      </c>
      <c r="I72" s="14"/>
      <c r="J72" s="11"/>
      <c r="K72" s="42" t="s">
        <v>12</v>
      </c>
      <c r="L72" s="16" t="s">
        <v>16</v>
      </c>
      <c r="M72" s="48" t="s">
        <v>246</v>
      </c>
      <c r="N72" s="49">
        <v>100000</v>
      </c>
      <c r="O72" s="56"/>
    </row>
    <row r="73" spans="1:15" s="57" customFormat="1">
      <c r="A73" s="5">
        <v>67</v>
      </c>
      <c r="B73" s="6" t="s">
        <v>23</v>
      </c>
      <c r="C73" s="7">
        <v>1001840</v>
      </c>
      <c r="D73" s="6" t="s">
        <v>119</v>
      </c>
      <c r="E73" s="7" t="s">
        <v>40</v>
      </c>
      <c r="F73" s="8">
        <v>45404</v>
      </c>
      <c r="G73" s="8">
        <v>45411</v>
      </c>
      <c r="H73" s="9">
        <v>50000</v>
      </c>
      <c r="I73" s="9">
        <f>SUM(H73:H86)</f>
        <v>2100000</v>
      </c>
      <c r="J73" s="6"/>
      <c r="K73" s="42" t="s">
        <v>12</v>
      </c>
      <c r="L73" s="16" t="s">
        <v>16</v>
      </c>
      <c r="M73" s="56" t="s">
        <v>239</v>
      </c>
      <c r="N73" s="51">
        <v>50000</v>
      </c>
      <c r="O73" s="56"/>
    </row>
    <row r="74" spans="1:15" s="57" customFormat="1">
      <c r="A74" s="5">
        <v>68</v>
      </c>
      <c r="B74" s="6" t="s">
        <v>23</v>
      </c>
      <c r="C74" s="7">
        <v>1002728</v>
      </c>
      <c r="D74" s="6" t="s">
        <v>120</v>
      </c>
      <c r="E74" s="7" t="s">
        <v>37</v>
      </c>
      <c r="F74" s="8">
        <v>45398</v>
      </c>
      <c r="G74" s="8">
        <v>45411</v>
      </c>
      <c r="H74" s="9">
        <v>50000</v>
      </c>
      <c r="I74" s="9"/>
      <c r="J74" s="6"/>
      <c r="K74" s="42" t="s">
        <v>12</v>
      </c>
      <c r="L74" s="16" t="s">
        <v>16</v>
      </c>
      <c r="M74" s="56" t="s">
        <v>239</v>
      </c>
      <c r="N74" s="51">
        <v>50000</v>
      </c>
      <c r="O74" s="56"/>
    </row>
    <row r="75" spans="1:15" s="57" customFormat="1">
      <c r="A75" s="5">
        <v>69</v>
      </c>
      <c r="B75" s="6" t="s">
        <v>23</v>
      </c>
      <c r="C75" s="7">
        <v>1004354</v>
      </c>
      <c r="D75" s="6" t="s">
        <v>121</v>
      </c>
      <c r="E75" s="7" t="s">
        <v>37</v>
      </c>
      <c r="F75" s="8">
        <v>45405</v>
      </c>
      <c r="G75" s="8">
        <v>45412</v>
      </c>
      <c r="H75" s="9">
        <v>50000</v>
      </c>
      <c r="I75" s="9"/>
      <c r="J75" s="6"/>
      <c r="K75" s="42" t="s">
        <v>12</v>
      </c>
      <c r="L75" s="16" t="s">
        <v>16</v>
      </c>
      <c r="M75" s="56" t="s">
        <v>239</v>
      </c>
      <c r="N75" s="51">
        <v>50000</v>
      </c>
      <c r="O75" s="56"/>
    </row>
    <row r="76" spans="1:15" s="57" customFormat="1">
      <c r="A76" s="5">
        <v>70</v>
      </c>
      <c r="B76" s="6" t="s">
        <v>23</v>
      </c>
      <c r="C76" s="7">
        <v>1004974</v>
      </c>
      <c r="D76" s="6" t="s">
        <v>122</v>
      </c>
      <c r="E76" s="7" t="s">
        <v>40</v>
      </c>
      <c r="F76" s="8">
        <v>45395</v>
      </c>
      <c r="G76" s="8">
        <v>45412</v>
      </c>
      <c r="H76" s="9">
        <v>50000</v>
      </c>
      <c r="I76" s="9"/>
      <c r="J76" s="6"/>
      <c r="K76" s="42" t="s">
        <v>12</v>
      </c>
      <c r="L76" s="16" t="s">
        <v>16</v>
      </c>
      <c r="M76" s="56" t="s">
        <v>239</v>
      </c>
      <c r="N76" s="51">
        <v>50000</v>
      </c>
      <c r="O76" s="56"/>
    </row>
    <row r="77" spans="1:15" s="57" customFormat="1">
      <c r="A77" s="5">
        <v>71</v>
      </c>
      <c r="B77" s="6" t="s">
        <v>23</v>
      </c>
      <c r="C77" s="7">
        <v>1005461</v>
      </c>
      <c r="D77" s="6" t="s">
        <v>123</v>
      </c>
      <c r="E77" s="7" t="s">
        <v>49</v>
      </c>
      <c r="F77" s="8">
        <v>45408</v>
      </c>
      <c r="G77" s="8">
        <v>45412</v>
      </c>
      <c r="H77" s="9">
        <v>150000</v>
      </c>
      <c r="I77" s="9"/>
      <c r="J77" s="6"/>
      <c r="K77" s="42" t="s">
        <v>12</v>
      </c>
      <c r="L77" s="16" t="s">
        <v>16</v>
      </c>
      <c r="M77" s="56" t="s">
        <v>251</v>
      </c>
      <c r="N77" s="51">
        <v>150000</v>
      </c>
      <c r="O77" s="56"/>
    </row>
    <row r="78" spans="1:15" s="57" customFormat="1">
      <c r="A78" s="5">
        <v>72</v>
      </c>
      <c r="B78" s="6" t="s">
        <v>23</v>
      </c>
      <c r="C78" s="7">
        <v>1005883</v>
      </c>
      <c r="D78" s="6" t="s">
        <v>124</v>
      </c>
      <c r="E78" s="7" t="s">
        <v>37</v>
      </c>
      <c r="F78" s="8">
        <v>45399</v>
      </c>
      <c r="G78" s="8">
        <v>45412</v>
      </c>
      <c r="H78" s="9">
        <v>50000</v>
      </c>
      <c r="I78" s="9"/>
      <c r="J78" s="6"/>
      <c r="K78" s="42" t="s">
        <v>12</v>
      </c>
      <c r="L78" s="16" t="s">
        <v>16</v>
      </c>
      <c r="M78" s="56" t="s">
        <v>239</v>
      </c>
      <c r="N78" s="51">
        <v>50000</v>
      </c>
      <c r="O78" s="56"/>
    </row>
    <row r="79" spans="1:15" s="57" customFormat="1">
      <c r="A79" s="5">
        <v>73</v>
      </c>
      <c r="B79" s="6" t="s">
        <v>23</v>
      </c>
      <c r="C79" s="7">
        <v>1001672</v>
      </c>
      <c r="D79" s="6" t="s">
        <v>125</v>
      </c>
      <c r="E79" s="7" t="s">
        <v>42</v>
      </c>
      <c r="F79" s="8">
        <v>45398</v>
      </c>
      <c r="G79" s="8">
        <v>45413</v>
      </c>
      <c r="H79" s="9">
        <v>50000</v>
      </c>
      <c r="I79" s="9"/>
      <c r="J79" s="6"/>
      <c r="K79" s="42" t="s">
        <v>12</v>
      </c>
      <c r="L79" s="16" t="s">
        <v>16</v>
      </c>
      <c r="M79" s="56" t="s">
        <v>239</v>
      </c>
      <c r="N79" s="51">
        <v>50000</v>
      </c>
      <c r="O79" s="56"/>
    </row>
    <row r="80" spans="1:15" s="57" customFormat="1">
      <c r="A80" s="5">
        <v>74</v>
      </c>
      <c r="B80" s="6" t="s">
        <v>23</v>
      </c>
      <c r="C80" s="7">
        <v>1003241</v>
      </c>
      <c r="D80" s="6" t="s">
        <v>126</v>
      </c>
      <c r="E80" s="7" t="s">
        <v>49</v>
      </c>
      <c r="F80" s="8">
        <v>45408</v>
      </c>
      <c r="G80" s="8">
        <v>45413</v>
      </c>
      <c r="H80" s="9">
        <v>1350000</v>
      </c>
      <c r="I80" s="9"/>
      <c r="J80" s="6" t="s">
        <v>230</v>
      </c>
      <c r="K80" s="42" t="s">
        <v>127</v>
      </c>
      <c r="L80" s="16" t="s">
        <v>16</v>
      </c>
      <c r="M80" s="56" t="s">
        <v>252</v>
      </c>
      <c r="N80" s="51">
        <v>1350000</v>
      </c>
      <c r="O80" s="56"/>
    </row>
    <row r="81" spans="1:15" s="57" customFormat="1">
      <c r="A81" s="5">
        <v>75</v>
      </c>
      <c r="B81" s="6" t="s">
        <v>23</v>
      </c>
      <c r="C81" s="7">
        <v>1007079</v>
      </c>
      <c r="D81" s="6" t="s">
        <v>128</v>
      </c>
      <c r="E81" s="7" t="s">
        <v>14</v>
      </c>
      <c r="F81" s="8">
        <v>45406</v>
      </c>
      <c r="G81" s="8">
        <v>45413</v>
      </c>
      <c r="H81" s="9">
        <v>50000</v>
      </c>
      <c r="I81" s="9"/>
      <c r="J81" s="6"/>
      <c r="K81" s="42" t="s">
        <v>12</v>
      </c>
      <c r="L81" s="16" t="s">
        <v>16</v>
      </c>
      <c r="M81" s="56" t="s">
        <v>239</v>
      </c>
      <c r="N81" s="51">
        <v>50000</v>
      </c>
      <c r="O81" s="56"/>
    </row>
    <row r="82" spans="1:15" s="57" customFormat="1">
      <c r="A82" s="5">
        <v>76</v>
      </c>
      <c r="B82" s="6" t="s">
        <v>23</v>
      </c>
      <c r="C82" s="7">
        <v>1009645</v>
      </c>
      <c r="D82" s="6" t="s">
        <v>129</v>
      </c>
      <c r="E82" s="7" t="s">
        <v>42</v>
      </c>
      <c r="F82" s="8">
        <v>45407</v>
      </c>
      <c r="G82" s="8">
        <v>45413</v>
      </c>
      <c r="H82" s="9">
        <v>50000</v>
      </c>
      <c r="I82" s="9"/>
      <c r="J82" s="6"/>
      <c r="K82" s="42" t="s">
        <v>12</v>
      </c>
      <c r="L82" s="16" t="s">
        <v>16</v>
      </c>
      <c r="M82" s="56" t="s">
        <v>239</v>
      </c>
      <c r="N82" s="51">
        <v>50000</v>
      </c>
      <c r="O82" s="56"/>
    </row>
    <row r="83" spans="1:15" s="57" customFormat="1">
      <c r="A83" s="5">
        <v>77</v>
      </c>
      <c r="B83" s="6" t="s">
        <v>23</v>
      </c>
      <c r="C83" s="7">
        <v>1002461</v>
      </c>
      <c r="D83" s="6" t="s">
        <v>130</v>
      </c>
      <c r="E83" s="7" t="s">
        <v>131</v>
      </c>
      <c r="F83" s="8">
        <v>45408</v>
      </c>
      <c r="G83" s="8">
        <v>45414</v>
      </c>
      <c r="H83" s="9">
        <v>50000</v>
      </c>
      <c r="I83" s="9"/>
      <c r="J83" s="6"/>
      <c r="K83" s="42" t="s">
        <v>12</v>
      </c>
      <c r="L83" s="16" t="s">
        <v>16</v>
      </c>
      <c r="M83" s="56" t="s">
        <v>239</v>
      </c>
      <c r="N83" s="51">
        <v>50000</v>
      </c>
      <c r="O83" s="56"/>
    </row>
    <row r="84" spans="1:15" s="57" customFormat="1">
      <c r="A84" s="5">
        <v>78</v>
      </c>
      <c r="B84" s="6" t="s">
        <v>23</v>
      </c>
      <c r="C84" s="7">
        <v>1008763</v>
      </c>
      <c r="D84" s="6" t="s">
        <v>132</v>
      </c>
      <c r="E84" s="7" t="s">
        <v>14</v>
      </c>
      <c r="F84" s="8">
        <v>45399</v>
      </c>
      <c r="G84" s="8">
        <v>45414</v>
      </c>
      <c r="H84" s="9">
        <v>50000</v>
      </c>
      <c r="I84" s="9"/>
      <c r="J84" s="6"/>
      <c r="K84" s="42" t="s">
        <v>12</v>
      </c>
      <c r="L84" s="16" t="s">
        <v>16</v>
      </c>
      <c r="M84" s="56" t="s">
        <v>239</v>
      </c>
      <c r="N84" s="51">
        <v>50000</v>
      </c>
      <c r="O84" s="56"/>
    </row>
    <row r="85" spans="1:15" s="57" customFormat="1">
      <c r="A85" s="5">
        <v>79</v>
      </c>
      <c r="B85" s="6" t="s">
        <v>23</v>
      </c>
      <c r="C85" s="7">
        <v>1005754</v>
      </c>
      <c r="D85" s="6" t="s">
        <v>133</v>
      </c>
      <c r="E85" s="7" t="s">
        <v>131</v>
      </c>
      <c r="F85" s="8">
        <v>45409</v>
      </c>
      <c r="G85" s="8">
        <v>45415</v>
      </c>
      <c r="H85" s="9">
        <v>50000</v>
      </c>
      <c r="I85" s="9"/>
      <c r="J85" s="6"/>
      <c r="K85" s="42" t="s">
        <v>12</v>
      </c>
      <c r="L85" s="16" t="s">
        <v>16</v>
      </c>
      <c r="M85" s="56" t="s">
        <v>239</v>
      </c>
      <c r="N85" s="51">
        <v>50000</v>
      </c>
      <c r="O85" s="56"/>
    </row>
    <row r="86" spans="1:15" s="57" customFormat="1">
      <c r="A86" s="5">
        <v>80</v>
      </c>
      <c r="B86" s="6" t="s">
        <v>23</v>
      </c>
      <c r="C86" s="7">
        <v>1001840</v>
      </c>
      <c r="D86" s="6" t="s">
        <v>119</v>
      </c>
      <c r="E86" s="7" t="s">
        <v>40</v>
      </c>
      <c r="F86" s="8">
        <v>45411</v>
      </c>
      <c r="G86" s="8">
        <v>45416</v>
      </c>
      <c r="H86" s="9">
        <v>50000</v>
      </c>
      <c r="I86" s="9"/>
      <c r="J86" s="6"/>
      <c r="K86" s="42" t="s">
        <v>12</v>
      </c>
      <c r="L86" s="16" t="s">
        <v>16</v>
      </c>
      <c r="M86" s="56" t="s">
        <v>239</v>
      </c>
      <c r="N86" s="51">
        <v>50000</v>
      </c>
      <c r="O86" s="56"/>
    </row>
    <row r="87" spans="1:15" s="57" customFormat="1">
      <c r="A87" s="5">
        <v>81</v>
      </c>
      <c r="B87" s="11" t="s">
        <v>24</v>
      </c>
      <c r="C87" s="12">
        <v>1007391</v>
      </c>
      <c r="D87" s="11" t="s">
        <v>134</v>
      </c>
      <c r="E87" s="12" t="s">
        <v>37</v>
      </c>
      <c r="F87" s="13">
        <v>45405</v>
      </c>
      <c r="G87" s="13">
        <v>45418</v>
      </c>
      <c r="H87" s="14">
        <v>200000</v>
      </c>
      <c r="I87" s="14">
        <f>SUM(H87:H97)</f>
        <v>1050000</v>
      </c>
      <c r="J87" s="11"/>
      <c r="K87" s="43" t="s">
        <v>135</v>
      </c>
      <c r="L87" s="4" t="s">
        <v>20</v>
      </c>
      <c r="M87" s="56" t="s">
        <v>253</v>
      </c>
      <c r="N87" s="64">
        <v>200000</v>
      </c>
      <c r="O87" s="56"/>
    </row>
    <row r="88" spans="1:15" s="57" customFormat="1">
      <c r="A88" s="5">
        <v>82</v>
      </c>
      <c r="B88" s="11" t="s">
        <v>24</v>
      </c>
      <c r="C88" s="12">
        <v>1007500</v>
      </c>
      <c r="D88" s="11" t="s">
        <v>136</v>
      </c>
      <c r="E88" s="12" t="s">
        <v>81</v>
      </c>
      <c r="F88" s="13">
        <v>45409</v>
      </c>
      <c r="G88" s="13">
        <v>45418</v>
      </c>
      <c r="H88" s="14">
        <v>50000</v>
      </c>
      <c r="I88" s="14"/>
      <c r="J88" s="11"/>
      <c r="K88" s="42" t="s">
        <v>12</v>
      </c>
      <c r="L88" s="16" t="s">
        <v>16</v>
      </c>
      <c r="M88" s="56" t="s">
        <v>239</v>
      </c>
      <c r="N88" s="64">
        <v>50000</v>
      </c>
      <c r="O88" s="56"/>
    </row>
    <row r="89" spans="1:15" s="57" customFormat="1">
      <c r="A89" s="5">
        <v>83</v>
      </c>
      <c r="B89" s="11" t="s">
        <v>24</v>
      </c>
      <c r="C89" s="12">
        <v>1005100</v>
      </c>
      <c r="D89" s="11" t="s">
        <v>91</v>
      </c>
      <c r="E89" s="12" t="s">
        <v>40</v>
      </c>
      <c r="F89" s="13">
        <v>45409</v>
      </c>
      <c r="G89" s="13">
        <v>45418</v>
      </c>
      <c r="H89" s="14">
        <v>50000</v>
      </c>
      <c r="I89" s="14"/>
      <c r="J89" s="12" t="s">
        <v>67</v>
      </c>
      <c r="K89" s="42" t="s">
        <v>12</v>
      </c>
      <c r="L89" s="16" t="s">
        <v>16</v>
      </c>
      <c r="M89" s="56" t="s">
        <v>239</v>
      </c>
      <c r="N89" s="64">
        <v>50000</v>
      </c>
      <c r="O89" s="56"/>
    </row>
    <row r="90" spans="1:15" s="57" customFormat="1">
      <c r="A90" s="5">
        <v>84</v>
      </c>
      <c r="B90" s="11" t="s">
        <v>24</v>
      </c>
      <c r="C90" s="25">
        <v>1006560</v>
      </c>
      <c r="D90" s="26" t="s">
        <v>137</v>
      </c>
      <c r="E90" s="25" t="s">
        <v>42</v>
      </c>
      <c r="F90" s="27">
        <v>45415</v>
      </c>
      <c r="G90" s="27">
        <v>45419</v>
      </c>
      <c r="H90" s="20">
        <v>50000</v>
      </c>
      <c r="I90" s="20"/>
      <c r="J90" s="11"/>
      <c r="K90" s="42" t="s">
        <v>12</v>
      </c>
      <c r="L90" s="16" t="s">
        <v>16</v>
      </c>
      <c r="M90" s="56" t="s">
        <v>239</v>
      </c>
      <c r="N90" s="64">
        <v>50000</v>
      </c>
      <c r="O90" s="56"/>
    </row>
    <row r="91" spans="1:15" s="57" customFormat="1">
      <c r="A91" s="5">
        <v>85</v>
      </c>
      <c r="B91" s="11" t="s">
        <v>24</v>
      </c>
      <c r="C91" s="12">
        <v>1004947</v>
      </c>
      <c r="D91" s="11" t="s">
        <v>138</v>
      </c>
      <c r="E91" s="12" t="s">
        <v>40</v>
      </c>
      <c r="F91" s="13">
        <v>45411</v>
      </c>
      <c r="G91" s="13">
        <v>45419</v>
      </c>
      <c r="H91" s="14">
        <v>50000</v>
      </c>
      <c r="I91" s="14"/>
      <c r="J91" s="11"/>
      <c r="K91" s="42" t="s">
        <v>12</v>
      </c>
      <c r="L91" s="16" t="s">
        <v>16</v>
      </c>
      <c r="M91" s="56" t="s">
        <v>239</v>
      </c>
      <c r="N91" s="64">
        <v>50000</v>
      </c>
      <c r="O91" s="56"/>
    </row>
    <row r="92" spans="1:15" s="57" customFormat="1">
      <c r="A92" s="5">
        <v>86</v>
      </c>
      <c r="B92" s="11" t="s">
        <v>24</v>
      </c>
      <c r="C92" s="12">
        <v>1005307</v>
      </c>
      <c r="D92" s="11" t="s">
        <v>139</v>
      </c>
      <c r="E92" s="12" t="s">
        <v>49</v>
      </c>
      <c r="F92" s="13">
        <v>45414</v>
      </c>
      <c r="G92" s="13">
        <v>45419</v>
      </c>
      <c r="H92" s="14">
        <v>350000</v>
      </c>
      <c r="I92" s="14"/>
      <c r="J92" s="11"/>
      <c r="K92" s="42" t="s">
        <v>12</v>
      </c>
      <c r="L92" s="16" t="s">
        <v>16</v>
      </c>
      <c r="M92" s="56" t="s">
        <v>254</v>
      </c>
      <c r="N92" s="64">
        <v>350000</v>
      </c>
      <c r="O92" s="56"/>
    </row>
    <row r="93" spans="1:15" s="57" customFormat="1">
      <c r="A93" s="5">
        <v>87</v>
      </c>
      <c r="B93" s="11" t="s">
        <v>24</v>
      </c>
      <c r="C93" s="12">
        <v>1003446</v>
      </c>
      <c r="D93" s="11" t="s">
        <v>140</v>
      </c>
      <c r="E93" s="12" t="s">
        <v>37</v>
      </c>
      <c r="F93" s="13">
        <v>45414</v>
      </c>
      <c r="G93" s="13">
        <v>45420</v>
      </c>
      <c r="H93" s="14">
        <v>100000</v>
      </c>
      <c r="I93" s="14"/>
      <c r="J93" s="11"/>
      <c r="K93" s="42" t="s">
        <v>12</v>
      </c>
      <c r="L93" s="16" t="s">
        <v>16</v>
      </c>
      <c r="M93" s="56" t="s">
        <v>246</v>
      </c>
      <c r="N93" s="64">
        <v>100000</v>
      </c>
      <c r="O93" s="56"/>
    </row>
    <row r="94" spans="1:15" s="57" customFormat="1">
      <c r="A94" s="5">
        <v>88</v>
      </c>
      <c r="B94" s="11" t="s">
        <v>24</v>
      </c>
      <c r="C94" s="12">
        <v>1005623</v>
      </c>
      <c r="D94" s="11" t="s">
        <v>141</v>
      </c>
      <c r="E94" s="12" t="s">
        <v>14</v>
      </c>
      <c r="F94" s="13">
        <v>45415</v>
      </c>
      <c r="G94" s="13">
        <v>45420</v>
      </c>
      <c r="H94" s="14">
        <v>50000</v>
      </c>
      <c r="I94" s="14"/>
      <c r="J94" s="11"/>
      <c r="K94" s="42" t="s">
        <v>12</v>
      </c>
      <c r="L94" s="16" t="s">
        <v>16</v>
      </c>
      <c r="M94" s="56" t="s">
        <v>239</v>
      </c>
      <c r="N94" s="64">
        <v>50000</v>
      </c>
      <c r="O94" s="56"/>
    </row>
    <row r="95" spans="1:15" s="57" customFormat="1">
      <c r="A95" s="5">
        <v>89</v>
      </c>
      <c r="B95" s="11" t="s">
        <v>24</v>
      </c>
      <c r="C95" s="12">
        <v>1000281</v>
      </c>
      <c r="D95" s="11" t="s">
        <v>142</v>
      </c>
      <c r="E95" s="12" t="s">
        <v>42</v>
      </c>
      <c r="F95" s="13">
        <v>45404</v>
      </c>
      <c r="G95" s="13">
        <v>45421</v>
      </c>
      <c r="H95" s="14">
        <v>50000</v>
      </c>
      <c r="I95" s="14"/>
      <c r="J95" s="11"/>
      <c r="K95" s="42" t="s">
        <v>12</v>
      </c>
      <c r="L95" s="16" t="s">
        <v>16</v>
      </c>
      <c r="M95" s="56" t="s">
        <v>239</v>
      </c>
      <c r="N95" s="64">
        <v>50000</v>
      </c>
      <c r="O95" s="56"/>
    </row>
    <row r="96" spans="1:15" s="57" customFormat="1">
      <c r="A96" s="5">
        <v>90</v>
      </c>
      <c r="B96" s="11" t="s">
        <v>24</v>
      </c>
      <c r="C96" s="12">
        <v>1003354</v>
      </c>
      <c r="D96" s="11" t="s">
        <v>143</v>
      </c>
      <c r="E96" s="12" t="s">
        <v>49</v>
      </c>
      <c r="F96" s="13">
        <v>45414</v>
      </c>
      <c r="G96" s="13">
        <v>45421</v>
      </c>
      <c r="H96" s="14">
        <v>50000</v>
      </c>
      <c r="I96" s="14"/>
      <c r="J96" s="11"/>
      <c r="K96" s="42" t="s">
        <v>12</v>
      </c>
      <c r="L96" s="16" t="s">
        <v>16</v>
      </c>
      <c r="M96" s="56" t="s">
        <v>239</v>
      </c>
      <c r="N96" s="64">
        <v>50000</v>
      </c>
      <c r="O96" s="56"/>
    </row>
    <row r="97" spans="1:15" s="57" customFormat="1">
      <c r="A97" s="5">
        <v>91</v>
      </c>
      <c r="B97" s="11" t="s">
        <v>24</v>
      </c>
      <c r="C97" s="12">
        <v>1002330</v>
      </c>
      <c r="D97" s="11" t="s">
        <v>144</v>
      </c>
      <c r="E97" s="12" t="s">
        <v>42</v>
      </c>
      <c r="F97" s="13">
        <v>45418</v>
      </c>
      <c r="G97" s="13">
        <v>45422</v>
      </c>
      <c r="H97" s="14">
        <v>50000</v>
      </c>
      <c r="I97" s="14"/>
      <c r="J97" s="11"/>
      <c r="K97" s="42" t="s">
        <v>12</v>
      </c>
      <c r="L97" s="16" t="s">
        <v>16</v>
      </c>
      <c r="M97" s="56" t="s">
        <v>239</v>
      </c>
      <c r="N97" s="64">
        <v>50000</v>
      </c>
      <c r="O97" s="56"/>
    </row>
    <row r="98" spans="1:15" s="57" customFormat="1">
      <c r="A98" s="5">
        <v>92</v>
      </c>
      <c r="B98" s="6" t="s">
        <v>25</v>
      </c>
      <c r="C98" s="7">
        <v>1007660</v>
      </c>
      <c r="D98" s="6" t="s">
        <v>145</v>
      </c>
      <c r="E98" s="7" t="s">
        <v>37</v>
      </c>
      <c r="F98" s="8">
        <v>45412</v>
      </c>
      <c r="G98" s="8">
        <v>45423</v>
      </c>
      <c r="H98" s="9">
        <v>50000</v>
      </c>
      <c r="I98" s="9">
        <f>SUM(H98:H105)</f>
        <v>1150000</v>
      </c>
      <c r="J98" s="6"/>
      <c r="K98" s="42" t="s">
        <v>12</v>
      </c>
      <c r="L98" s="16" t="s">
        <v>16</v>
      </c>
      <c r="M98" s="56" t="s">
        <v>239</v>
      </c>
      <c r="N98" s="52">
        <v>50000</v>
      </c>
      <c r="O98" s="56"/>
    </row>
    <row r="99" spans="1:15" s="57" customFormat="1">
      <c r="A99" s="5">
        <v>93</v>
      </c>
      <c r="B99" s="6" t="s">
        <v>25</v>
      </c>
      <c r="C99" s="7">
        <v>1003643</v>
      </c>
      <c r="D99" s="6" t="s">
        <v>146</v>
      </c>
      <c r="E99" s="7" t="s">
        <v>49</v>
      </c>
      <c r="F99" s="8">
        <v>45420</v>
      </c>
      <c r="G99" s="8">
        <v>45424</v>
      </c>
      <c r="H99" s="9">
        <v>50000</v>
      </c>
      <c r="I99" s="9"/>
      <c r="J99" s="6"/>
      <c r="K99" s="42" t="s">
        <v>12</v>
      </c>
      <c r="L99" s="16" t="s">
        <v>16</v>
      </c>
      <c r="M99" s="56" t="s">
        <v>239</v>
      </c>
      <c r="N99" s="52">
        <v>50000</v>
      </c>
      <c r="O99" s="56"/>
    </row>
    <row r="100" spans="1:15" s="57" customFormat="1">
      <c r="A100" s="5">
        <v>94</v>
      </c>
      <c r="B100" s="6" t="s">
        <v>25</v>
      </c>
      <c r="C100" s="7">
        <v>1005329</v>
      </c>
      <c r="D100" s="6" t="s">
        <v>147</v>
      </c>
      <c r="E100" s="7" t="s">
        <v>14</v>
      </c>
      <c r="F100" s="8">
        <v>45415</v>
      </c>
      <c r="G100" s="8">
        <v>45424</v>
      </c>
      <c r="H100" s="9">
        <v>750000</v>
      </c>
      <c r="I100" s="9"/>
      <c r="J100" s="6"/>
      <c r="K100" s="42" t="s">
        <v>12</v>
      </c>
      <c r="L100" s="16" t="s">
        <v>16</v>
      </c>
      <c r="M100" s="56" t="s">
        <v>255</v>
      </c>
      <c r="N100" s="52">
        <v>750000</v>
      </c>
      <c r="O100" s="56"/>
    </row>
    <row r="101" spans="1:15" s="57" customFormat="1">
      <c r="A101" s="5">
        <v>95</v>
      </c>
      <c r="B101" s="6" t="s">
        <v>25</v>
      </c>
      <c r="C101" s="7">
        <v>1003112</v>
      </c>
      <c r="D101" s="6" t="s">
        <v>148</v>
      </c>
      <c r="E101" s="7" t="s">
        <v>42</v>
      </c>
      <c r="F101" s="8">
        <v>45418</v>
      </c>
      <c r="G101" s="8">
        <v>45424</v>
      </c>
      <c r="H101" s="9">
        <v>50000</v>
      </c>
      <c r="I101" s="9"/>
      <c r="J101" s="6"/>
      <c r="K101" s="42" t="s">
        <v>12</v>
      </c>
      <c r="L101" s="16" t="s">
        <v>16</v>
      </c>
      <c r="M101" s="56" t="s">
        <v>239</v>
      </c>
      <c r="N101" s="52">
        <v>50000</v>
      </c>
      <c r="O101" s="56"/>
    </row>
    <row r="102" spans="1:15" s="57" customFormat="1">
      <c r="A102" s="5">
        <v>96</v>
      </c>
      <c r="B102" s="6" t="s">
        <v>25</v>
      </c>
      <c r="C102" s="7">
        <v>1000829</v>
      </c>
      <c r="D102" s="6" t="s">
        <v>149</v>
      </c>
      <c r="E102" s="7" t="s">
        <v>40</v>
      </c>
      <c r="F102" s="8">
        <v>45425</v>
      </c>
      <c r="G102" s="8">
        <v>45426</v>
      </c>
      <c r="H102" s="9">
        <v>100000</v>
      </c>
      <c r="I102" s="9"/>
      <c r="J102" s="6"/>
      <c r="K102" s="42" t="s">
        <v>12</v>
      </c>
      <c r="L102" s="16" t="s">
        <v>16</v>
      </c>
      <c r="M102" s="56" t="s">
        <v>246</v>
      </c>
      <c r="N102" s="52">
        <v>100000</v>
      </c>
      <c r="O102" s="56"/>
    </row>
    <row r="103" spans="1:15" s="57" customFormat="1">
      <c r="A103" s="5">
        <v>97</v>
      </c>
      <c r="B103" s="6" t="s">
        <v>25</v>
      </c>
      <c r="C103" s="7">
        <v>1005918</v>
      </c>
      <c r="D103" s="6" t="s">
        <v>88</v>
      </c>
      <c r="E103" s="7" t="s">
        <v>49</v>
      </c>
      <c r="F103" s="8">
        <v>45422</v>
      </c>
      <c r="G103" s="8">
        <v>45426</v>
      </c>
      <c r="H103" s="9">
        <v>50000</v>
      </c>
      <c r="I103" s="9"/>
      <c r="J103" s="6"/>
      <c r="K103" s="42" t="s">
        <v>12</v>
      </c>
      <c r="L103" s="16" t="s">
        <v>16</v>
      </c>
      <c r="M103" s="56" t="s">
        <v>239</v>
      </c>
      <c r="N103" s="52">
        <v>50000</v>
      </c>
      <c r="O103" s="56"/>
    </row>
    <row r="104" spans="1:15" s="57" customFormat="1">
      <c r="A104" s="5">
        <v>98</v>
      </c>
      <c r="B104" s="6" t="s">
        <v>25</v>
      </c>
      <c r="C104" s="7">
        <v>1006383</v>
      </c>
      <c r="D104" s="6" t="s">
        <v>150</v>
      </c>
      <c r="E104" s="7" t="s">
        <v>131</v>
      </c>
      <c r="F104" s="8">
        <v>45418</v>
      </c>
      <c r="G104" s="8">
        <v>45426</v>
      </c>
      <c r="H104" s="9">
        <v>50000</v>
      </c>
      <c r="I104" s="9"/>
      <c r="J104" s="6"/>
      <c r="K104" s="42" t="s">
        <v>12</v>
      </c>
      <c r="L104" s="16" t="s">
        <v>16</v>
      </c>
      <c r="M104" s="56" t="s">
        <v>239</v>
      </c>
      <c r="N104" s="52">
        <v>50000</v>
      </c>
      <c r="O104" s="56"/>
    </row>
    <row r="105" spans="1:15" s="57" customFormat="1">
      <c r="A105" s="5">
        <v>99</v>
      </c>
      <c r="B105" s="6" t="s">
        <v>25</v>
      </c>
      <c r="C105" s="7">
        <v>1007502</v>
      </c>
      <c r="D105" s="6" t="s">
        <v>151</v>
      </c>
      <c r="E105" s="7" t="s">
        <v>81</v>
      </c>
      <c r="F105" s="8">
        <v>45419</v>
      </c>
      <c r="G105" s="8">
        <v>45428</v>
      </c>
      <c r="H105" s="9">
        <v>50000</v>
      </c>
      <c r="I105" s="9"/>
      <c r="J105" s="6"/>
      <c r="K105" s="42" t="s">
        <v>12</v>
      </c>
      <c r="L105" s="16" t="s">
        <v>16</v>
      </c>
      <c r="M105" s="56" t="s">
        <v>239</v>
      </c>
      <c r="N105" s="52">
        <v>50000</v>
      </c>
      <c r="O105" s="56"/>
    </row>
    <row r="106" spans="1:15" s="57" customFormat="1">
      <c r="A106" s="5">
        <v>100</v>
      </c>
      <c r="B106" s="11" t="s">
        <v>27</v>
      </c>
      <c r="C106" s="12">
        <v>1002574</v>
      </c>
      <c r="D106" s="11" t="s">
        <v>152</v>
      </c>
      <c r="E106" s="12" t="s">
        <v>40</v>
      </c>
      <c r="F106" s="13">
        <v>45424</v>
      </c>
      <c r="G106" s="13">
        <v>45430</v>
      </c>
      <c r="H106" s="14">
        <v>100000</v>
      </c>
      <c r="I106" s="14">
        <f>SUM(H106:H115)</f>
        <v>2000000</v>
      </c>
      <c r="J106" s="11"/>
      <c r="K106" s="42" t="s">
        <v>12</v>
      </c>
      <c r="L106" s="16" t="s">
        <v>16</v>
      </c>
      <c r="M106" s="56" t="s">
        <v>246</v>
      </c>
      <c r="N106" s="52">
        <v>100000</v>
      </c>
      <c r="O106" s="56"/>
    </row>
    <row r="107" spans="1:15" s="57" customFormat="1">
      <c r="A107" s="5">
        <v>101</v>
      </c>
      <c r="B107" s="11" t="s">
        <v>27</v>
      </c>
      <c r="C107" s="12">
        <v>1005315</v>
      </c>
      <c r="D107" s="11" t="s">
        <v>153</v>
      </c>
      <c r="E107" s="12" t="s">
        <v>81</v>
      </c>
      <c r="F107" s="13">
        <v>45389</v>
      </c>
      <c r="G107" s="13">
        <v>45395</v>
      </c>
      <c r="H107" s="14">
        <v>1500000</v>
      </c>
      <c r="I107" s="14"/>
      <c r="J107" s="12" t="s">
        <v>19</v>
      </c>
      <c r="K107" s="43" t="s">
        <v>154</v>
      </c>
      <c r="L107" s="4" t="s">
        <v>20</v>
      </c>
      <c r="M107" s="53" t="s">
        <v>256</v>
      </c>
      <c r="N107" s="54">
        <v>1500000</v>
      </c>
      <c r="O107" s="56"/>
    </row>
    <row r="108" spans="1:15" s="57" customFormat="1">
      <c r="A108" s="5">
        <v>102</v>
      </c>
      <c r="B108" s="11" t="s">
        <v>27</v>
      </c>
      <c r="C108" s="12">
        <v>1004063</v>
      </c>
      <c r="D108" s="11" t="s">
        <v>155</v>
      </c>
      <c r="E108" s="12" t="s">
        <v>49</v>
      </c>
      <c r="F108" s="13">
        <v>45418</v>
      </c>
      <c r="G108" s="13">
        <v>45431</v>
      </c>
      <c r="H108" s="14">
        <v>50000</v>
      </c>
      <c r="I108" s="14"/>
      <c r="J108" s="11"/>
      <c r="K108" s="42" t="s">
        <v>12</v>
      </c>
      <c r="L108" s="16" t="s">
        <v>16</v>
      </c>
      <c r="M108" s="56" t="s">
        <v>239</v>
      </c>
      <c r="N108" s="52">
        <v>50000</v>
      </c>
      <c r="O108" s="56"/>
    </row>
    <row r="109" spans="1:15" s="57" customFormat="1">
      <c r="A109" s="5">
        <v>103</v>
      </c>
      <c r="B109" s="11" t="s">
        <v>27</v>
      </c>
      <c r="C109" s="12">
        <v>1004627</v>
      </c>
      <c r="D109" s="11" t="s">
        <v>156</v>
      </c>
      <c r="E109" s="12" t="s">
        <v>49</v>
      </c>
      <c r="F109" s="13">
        <v>45423</v>
      </c>
      <c r="G109" s="13">
        <v>45431</v>
      </c>
      <c r="H109" s="14">
        <v>50000</v>
      </c>
      <c r="I109" s="14"/>
      <c r="J109" s="11"/>
      <c r="K109" s="42" t="s">
        <v>12</v>
      </c>
      <c r="L109" s="16" t="s">
        <v>16</v>
      </c>
      <c r="M109" s="56" t="s">
        <v>239</v>
      </c>
      <c r="N109" s="52">
        <v>50000</v>
      </c>
      <c r="O109" s="56"/>
    </row>
    <row r="110" spans="1:15" s="57" customFormat="1">
      <c r="A110" s="5">
        <v>104</v>
      </c>
      <c r="B110" s="11" t="s">
        <v>27</v>
      </c>
      <c r="C110" s="12">
        <v>1002912</v>
      </c>
      <c r="D110" s="11" t="s">
        <v>157</v>
      </c>
      <c r="E110" s="12" t="s">
        <v>14</v>
      </c>
      <c r="F110" s="13">
        <v>45424</v>
      </c>
      <c r="G110" s="13">
        <v>45433</v>
      </c>
      <c r="H110" s="14">
        <v>50000</v>
      </c>
      <c r="I110" s="14"/>
      <c r="J110" s="11"/>
      <c r="K110" s="42" t="s">
        <v>12</v>
      </c>
      <c r="L110" s="16" t="s">
        <v>16</v>
      </c>
      <c r="M110" s="56" t="s">
        <v>239</v>
      </c>
      <c r="N110" s="52">
        <v>50000</v>
      </c>
      <c r="O110" s="56"/>
    </row>
    <row r="111" spans="1:15" s="57" customFormat="1">
      <c r="A111" s="5">
        <v>105</v>
      </c>
      <c r="B111" s="11" t="s">
        <v>27</v>
      </c>
      <c r="C111" s="12">
        <v>1005046</v>
      </c>
      <c r="D111" s="11" t="s">
        <v>158</v>
      </c>
      <c r="E111" s="12" t="s">
        <v>96</v>
      </c>
      <c r="F111" s="13">
        <v>45420</v>
      </c>
      <c r="G111" s="13">
        <v>45433</v>
      </c>
      <c r="H111" s="14">
        <v>50000</v>
      </c>
      <c r="I111" s="14"/>
      <c r="J111" s="11"/>
      <c r="K111" s="42" t="s">
        <v>12</v>
      </c>
      <c r="L111" s="16" t="s">
        <v>16</v>
      </c>
      <c r="M111" s="56" t="s">
        <v>239</v>
      </c>
      <c r="N111" s="52">
        <v>50000</v>
      </c>
      <c r="O111" s="56"/>
    </row>
    <row r="112" spans="1:15" s="57" customFormat="1">
      <c r="A112" s="5">
        <v>106</v>
      </c>
      <c r="B112" s="11" t="s">
        <v>27</v>
      </c>
      <c r="C112" s="12">
        <v>1002742</v>
      </c>
      <c r="D112" s="11" t="s">
        <v>159</v>
      </c>
      <c r="E112" s="12" t="s">
        <v>37</v>
      </c>
      <c r="F112" s="13">
        <v>45429</v>
      </c>
      <c r="G112" s="13">
        <v>45434</v>
      </c>
      <c r="H112" s="14">
        <v>50000</v>
      </c>
      <c r="I112" s="14"/>
      <c r="J112" s="11"/>
      <c r="K112" s="42" t="s">
        <v>12</v>
      </c>
      <c r="L112" s="16" t="s">
        <v>16</v>
      </c>
      <c r="M112" s="56" t="s">
        <v>239</v>
      </c>
      <c r="N112" s="52">
        <v>50000</v>
      </c>
      <c r="O112" s="56"/>
    </row>
    <row r="113" spans="1:15" s="57" customFormat="1">
      <c r="A113" s="5">
        <v>107</v>
      </c>
      <c r="B113" s="11" t="s">
        <v>27</v>
      </c>
      <c r="C113" s="12">
        <v>1003291</v>
      </c>
      <c r="D113" s="11" t="s">
        <v>160</v>
      </c>
      <c r="E113" s="12" t="s">
        <v>42</v>
      </c>
      <c r="F113" s="13">
        <v>45425</v>
      </c>
      <c r="G113" s="13">
        <v>45435</v>
      </c>
      <c r="H113" s="14">
        <v>50000</v>
      </c>
      <c r="I113" s="14"/>
      <c r="J113" s="11"/>
      <c r="K113" s="42" t="s">
        <v>12</v>
      </c>
      <c r="L113" s="16" t="s">
        <v>16</v>
      </c>
      <c r="M113" s="56" t="s">
        <v>239</v>
      </c>
      <c r="N113" s="52">
        <v>50000</v>
      </c>
      <c r="O113" s="56"/>
    </row>
    <row r="114" spans="1:15" s="57" customFormat="1">
      <c r="A114" s="5">
        <v>108</v>
      </c>
      <c r="B114" s="11" t="s">
        <v>27</v>
      </c>
      <c r="C114" s="12">
        <v>1004354</v>
      </c>
      <c r="D114" s="11" t="s">
        <v>121</v>
      </c>
      <c r="E114" s="12" t="s">
        <v>37</v>
      </c>
      <c r="F114" s="13">
        <v>45429</v>
      </c>
      <c r="G114" s="13">
        <v>45435</v>
      </c>
      <c r="H114" s="14">
        <v>50000</v>
      </c>
      <c r="I114" s="14"/>
      <c r="J114" s="11"/>
      <c r="K114" s="42" t="s">
        <v>12</v>
      </c>
      <c r="L114" s="16" t="s">
        <v>16</v>
      </c>
      <c r="M114" s="56" t="s">
        <v>239</v>
      </c>
      <c r="N114" s="52">
        <v>50000</v>
      </c>
      <c r="O114" s="56"/>
    </row>
    <row r="115" spans="1:15" s="57" customFormat="1">
      <c r="A115" s="5">
        <v>109</v>
      </c>
      <c r="B115" s="11" t="s">
        <v>27</v>
      </c>
      <c r="C115" s="12">
        <v>1001119</v>
      </c>
      <c r="D115" s="11" t="s">
        <v>161</v>
      </c>
      <c r="E115" s="12" t="s">
        <v>42</v>
      </c>
      <c r="F115" s="13">
        <v>45430</v>
      </c>
      <c r="G115" s="13">
        <v>45436</v>
      </c>
      <c r="H115" s="14">
        <v>50000</v>
      </c>
      <c r="I115" s="14"/>
      <c r="J115" s="11"/>
      <c r="K115" s="42" t="s">
        <v>12</v>
      </c>
      <c r="L115" s="16" t="s">
        <v>16</v>
      </c>
      <c r="M115" s="56" t="s">
        <v>239</v>
      </c>
      <c r="N115" s="52">
        <v>50000</v>
      </c>
      <c r="O115" s="56"/>
    </row>
    <row r="116" spans="1:15" s="57" customFormat="1">
      <c r="A116" s="5">
        <v>110</v>
      </c>
      <c r="B116" s="6" t="s">
        <v>28</v>
      </c>
      <c r="C116" s="7">
        <v>1003466</v>
      </c>
      <c r="D116" s="6" t="s">
        <v>162</v>
      </c>
      <c r="E116" s="7" t="s">
        <v>131</v>
      </c>
      <c r="F116" s="8">
        <v>45429</v>
      </c>
      <c r="G116" s="8">
        <v>45437</v>
      </c>
      <c r="H116" s="9">
        <v>200000</v>
      </c>
      <c r="I116" s="9">
        <f>SUM(H116:H125)</f>
        <v>700000</v>
      </c>
      <c r="J116" s="6"/>
      <c r="K116" s="43" t="s">
        <v>163</v>
      </c>
      <c r="L116" s="4" t="s">
        <v>20</v>
      </c>
      <c r="M116" s="56" t="s">
        <v>257</v>
      </c>
      <c r="N116" s="52">
        <v>200000</v>
      </c>
      <c r="O116" s="56"/>
    </row>
    <row r="117" spans="1:15" s="57" customFormat="1">
      <c r="A117" s="5">
        <v>111</v>
      </c>
      <c r="B117" s="6" t="s">
        <v>28</v>
      </c>
      <c r="C117" s="7">
        <v>1003483</v>
      </c>
      <c r="D117" s="6" t="s">
        <v>164</v>
      </c>
      <c r="E117" s="7" t="s">
        <v>40</v>
      </c>
      <c r="F117" s="8">
        <v>45431</v>
      </c>
      <c r="G117" s="8">
        <v>45437</v>
      </c>
      <c r="H117" s="9">
        <v>50000</v>
      </c>
      <c r="I117" s="9"/>
      <c r="J117" s="6"/>
      <c r="K117" s="42" t="s">
        <v>12</v>
      </c>
      <c r="L117" s="16" t="s">
        <v>16</v>
      </c>
      <c r="M117" s="56" t="s">
        <v>239</v>
      </c>
      <c r="N117" s="52">
        <v>50000</v>
      </c>
      <c r="O117" s="56"/>
    </row>
    <row r="118" spans="1:15" s="57" customFormat="1">
      <c r="A118" s="5">
        <v>112</v>
      </c>
      <c r="B118" s="6" t="s">
        <v>28</v>
      </c>
      <c r="C118" s="7">
        <v>1002220</v>
      </c>
      <c r="D118" s="6" t="s">
        <v>165</v>
      </c>
      <c r="E118" s="7" t="s">
        <v>40</v>
      </c>
      <c r="F118" s="8">
        <v>45429</v>
      </c>
      <c r="G118" s="8">
        <v>45438</v>
      </c>
      <c r="H118" s="9">
        <v>50000</v>
      </c>
      <c r="I118" s="9"/>
      <c r="J118" s="6"/>
      <c r="K118" s="42" t="s">
        <v>12</v>
      </c>
      <c r="L118" s="16" t="s">
        <v>16</v>
      </c>
      <c r="M118" s="56" t="s">
        <v>239</v>
      </c>
      <c r="N118" s="52">
        <v>50000</v>
      </c>
      <c r="O118" s="56"/>
    </row>
    <row r="119" spans="1:15" s="57" customFormat="1">
      <c r="A119" s="5">
        <v>113</v>
      </c>
      <c r="B119" s="6" t="s">
        <v>28</v>
      </c>
      <c r="C119" s="7">
        <v>1006849</v>
      </c>
      <c r="D119" s="6" t="s">
        <v>166</v>
      </c>
      <c r="E119" s="7" t="s">
        <v>49</v>
      </c>
      <c r="F119" s="8">
        <v>45429</v>
      </c>
      <c r="G119" s="8">
        <v>45438</v>
      </c>
      <c r="H119" s="9">
        <v>50000</v>
      </c>
      <c r="I119" s="9"/>
      <c r="J119" s="6"/>
      <c r="K119" s="42" t="s">
        <v>12</v>
      </c>
      <c r="L119" s="16" t="s">
        <v>16</v>
      </c>
      <c r="M119" s="56" t="s">
        <v>239</v>
      </c>
      <c r="N119" s="52">
        <v>50000</v>
      </c>
      <c r="O119" s="56"/>
    </row>
    <row r="120" spans="1:15" s="57" customFormat="1">
      <c r="A120" s="5">
        <v>114</v>
      </c>
      <c r="B120" s="6" t="s">
        <v>28</v>
      </c>
      <c r="C120" s="7">
        <v>1008515</v>
      </c>
      <c r="D120" s="6" t="s">
        <v>167</v>
      </c>
      <c r="E120" s="7" t="s">
        <v>46</v>
      </c>
      <c r="F120" s="8">
        <v>45428</v>
      </c>
      <c r="G120" s="8">
        <v>45438</v>
      </c>
      <c r="H120" s="9">
        <v>50000</v>
      </c>
      <c r="I120" s="9"/>
      <c r="J120" s="6"/>
      <c r="K120" s="42" t="s">
        <v>12</v>
      </c>
      <c r="L120" s="16" t="s">
        <v>16</v>
      </c>
      <c r="M120" s="56" t="s">
        <v>239</v>
      </c>
      <c r="N120" s="52">
        <v>50000</v>
      </c>
      <c r="O120" s="56"/>
    </row>
    <row r="121" spans="1:15" s="57" customFormat="1">
      <c r="A121" s="5">
        <v>115</v>
      </c>
      <c r="B121" s="6" t="s">
        <v>28</v>
      </c>
      <c r="C121" s="7">
        <v>1009665</v>
      </c>
      <c r="D121" s="6" t="s">
        <v>168</v>
      </c>
      <c r="E121" s="7" t="s">
        <v>81</v>
      </c>
      <c r="F121" s="8">
        <v>45414</v>
      </c>
      <c r="G121" s="8">
        <v>45438</v>
      </c>
      <c r="H121" s="9">
        <v>100000</v>
      </c>
      <c r="I121" s="9"/>
      <c r="J121" s="6"/>
      <c r="K121" s="42" t="s">
        <v>12</v>
      </c>
      <c r="L121" s="16" t="s">
        <v>16</v>
      </c>
      <c r="M121" s="56" t="s">
        <v>246</v>
      </c>
      <c r="N121" s="52">
        <v>100000</v>
      </c>
      <c r="O121" s="56"/>
    </row>
    <row r="122" spans="1:15" s="57" customFormat="1">
      <c r="A122" s="5">
        <v>116</v>
      </c>
      <c r="B122" s="6" t="s">
        <v>28</v>
      </c>
      <c r="C122" s="7">
        <v>1006830</v>
      </c>
      <c r="D122" s="6" t="s">
        <v>169</v>
      </c>
      <c r="E122" s="7" t="s">
        <v>40</v>
      </c>
      <c r="F122" s="8">
        <v>45431</v>
      </c>
      <c r="G122" s="8">
        <v>45439</v>
      </c>
      <c r="H122" s="9">
        <v>50000</v>
      </c>
      <c r="I122" s="9"/>
      <c r="J122" s="6"/>
      <c r="K122" s="42" t="s">
        <v>12</v>
      </c>
      <c r="L122" s="16" t="s">
        <v>16</v>
      </c>
      <c r="M122" s="56" t="s">
        <v>239</v>
      </c>
      <c r="N122" s="52">
        <v>50000</v>
      </c>
      <c r="O122" s="56"/>
    </row>
    <row r="123" spans="1:15" s="57" customFormat="1">
      <c r="A123" s="5">
        <v>117</v>
      </c>
      <c r="B123" s="6" t="s">
        <v>28</v>
      </c>
      <c r="C123" s="7">
        <v>1000850</v>
      </c>
      <c r="D123" s="6" t="s">
        <v>170</v>
      </c>
      <c r="E123" s="7" t="s">
        <v>42</v>
      </c>
      <c r="F123" s="8">
        <v>45437</v>
      </c>
      <c r="G123" s="8">
        <v>45442</v>
      </c>
      <c r="H123" s="9">
        <v>50000</v>
      </c>
      <c r="I123" s="9"/>
      <c r="J123" s="6"/>
      <c r="K123" s="42" t="s">
        <v>12</v>
      </c>
      <c r="L123" s="16" t="s">
        <v>16</v>
      </c>
      <c r="M123" s="56" t="s">
        <v>239</v>
      </c>
      <c r="N123" s="52">
        <v>50000</v>
      </c>
      <c r="O123" s="56"/>
    </row>
    <row r="124" spans="1:15" s="57" customFormat="1">
      <c r="A124" s="5">
        <v>118</v>
      </c>
      <c r="B124" s="6" t="s">
        <v>28</v>
      </c>
      <c r="C124" s="7">
        <v>1002608</v>
      </c>
      <c r="D124" s="6" t="s">
        <v>171</v>
      </c>
      <c r="E124" s="7" t="s">
        <v>42</v>
      </c>
      <c r="F124" s="8">
        <v>45437</v>
      </c>
      <c r="G124" s="8">
        <v>45442</v>
      </c>
      <c r="H124" s="9">
        <v>50000</v>
      </c>
      <c r="I124" s="9"/>
      <c r="J124" s="6"/>
      <c r="K124" s="42" t="s">
        <v>12</v>
      </c>
      <c r="L124" s="16" t="s">
        <v>16</v>
      </c>
      <c r="M124" s="56" t="s">
        <v>239</v>
      </c>
      <c r="N124" s="52">
        <v>50000</v>
      </c>
      <c r="O124" s="56"/>
    </row>
    <row r="125" spans="1:15" s="57" customFormat="1">
      <c r="A125" s="5">
        <v>119</v>
      </c>
      <c r="B125" s="6" t="s">
        <v>28</v>
      </c>
      <c r="C125" s="7">
        <v>1002802</v>
      </c>
      <c r="D125" s="6" t="s">
        <v>172</v>
      </c>
      <c r="E125" s="7" t="s">
        <v>42</v>
      </c>
      <c r="F125" s="8">
        <v>45434</v>
      </c>
      <c r="G125" s="8">
        <v>45442</v>
      </c>
      <c r="H125" s="9">
        <v>50000</v>
      </c>
      <c r="I125" s="9"/>
      <c r="J125" s="6"/>
      <c r="K125" s="42" t="s">
        <v>12</v>
      </c>
      <c r="L125" s="16" t="s">
        <v>16</v>
      </c>
      <c r="M125" s="56" t="s">
        <v>239</v>
      </c>
      <c r="N125" s="52">
        <v>50000</v>
      </c>
      <c r="O125" s="56"/>
    </row>
    <row r="126" spans="1:15" s="57" customFormat="1">
      <c r="A126" s="5">
        <v>120</v>
      </c>
      <c r="B126" s="11" t="s">
        <v>29</v>
      </c>
      <c r="C126" s="12">
        <v>1001253</v>
      </c>
      <c r="D126" s="11" t="s">
        <v>173</v>
      </c>
      <c r="E126" s="12" t="s">
        <v>46</v>
      </c>
      <c r="F126" s="13">
        <v>45436</v>
      </c>
      <c r="G126" s="13">
        <v>45443</v>
      </c>
      <c r="H126" s="14">
        <v>150000</v>
      </c>
      <c r="I126" s="14">
        <f>SUM(H126:H133)</f>
        <v>600000</v>
      </c>
      <c r="J126" s="11"/>
      <c r="K126" s="42" t="s">
        <v>12</v>
      </c>
      <c r="L126" s="16" t="s">
        <v>16</v>
      </c>
      <c r="M126" s="56" t="s">
        <v>251</v>
      </c>
      <c r="N126" s="55">
        <v>150000</v>
      </c>
      <c r="O126" s="56"/>
    </row>
    <row r="127" spans="1:15" s="57" customFormat="1">
      <c r="A127" s="5">
        <v>121</v>
      </c>
      <c r="B127" s="11" t="s">
        <v>29</v>
      </c>
      <c r="C127" s="12">
        <v>1002743</v>
      </c>
      <c r="D127" s="11" t="s">
        <v>174</v>
      </c>
      <c r="E127" s="12" t="s">
        <v>37</v>
      </c>
      <c r="F127" s="13">
        <v>45435</v>
      </c>
      <c r="G127" s="13">
        <v>45443</v>
      </c>
      <c r="H127" s="14">
        <v>100000</v>
      </c>
      <c r="I127" s="14"/>
      <c r="J127" s="11"/>
      <c r="K127" s="42" t="s">
        <v>12</v>
      </c>
      <c r="L127" s="16" t="s">
        <v>16</v>
      </c>
      <c r="M127" s="56" t="s">
        <v>246</v>
      </c>
      <c r="N127" s="55">
        <v>100000</v>
      </c>
      <c r="O127" s="56"/>
    </row>
    <row r="128" spans="1:15" s="57" customFormat="1">
      <c r="A128" s="5">
        <v>122</v>
      </c>
      <c r="B128" s="11" t="s">
        <v>29</v>
      </c>
      <c r="C128" s="12">
        <v>1001212</v>
      </c>
      <c r="D128" s="11" t="s">
        <v>175</v>
      </c>
      <c r="E128" s="12" t="s">
        <v>46</v>
      </c>
      <c r="F128" s="13">
        <v>45435</v>
      </c>
      <c r="G128" s="13">
        <v>45444</v>
      </c>
      <c r="H128" s="14">
        <v>50000</v>
      </c>
      <c r="I128" s="14"/>
      <c r="J128" s="11"/>
      <c r="K128" s="42" t="s">
        <v>12</v>
      </c>
      <c r="L128" s="16" t="s">
        <v>16</v>
      </c>
      <c r="M128" s="56" t="s">
        <v>239</v>
      </c>
      <c r="N128" s="55">
        <v>50000</v>
      </c>
      <c r="O128" s="56"/>
    </row>
    <row r="129" spans="1:15" s="57" customFormat="1">
      <c r="A129" s="5">
        <v>123</v>
      </c>
      <c r="B129" s="11" t="s">
        <v>29</v>
      </c>
      <c r="C129" s="12">
        <v>1004756</v>
      </c>
      <c r="D129" s="11" t="s">
        <v>176</v>
      </c>
      <c r="E129" s="12" t="s">
        <v>40</v>
      </c>
      <c r="F129" s="13">
        <v>45444</v>
      </c>
      <c r="G129" s="13">
        <v>45445</v>
      </c>
      <c r="H129" s="14">
        <v>50000</v>
      </c>
      <c r="I129" s="14"/>
      <c r="J129" s="11"/>
      <c r="K129" s="42" t="s">
        <v>12</v>
      </c>
      <c r="L129" s="16" t="s">
        <v>16</v>
      </c>
      <c r="M129" s="56" t="s">
        <v>239</v>
      </c>
      <c r="N129" s="55">
        <v>50000</v>
      </c>
      <c r="O129" s="56"/>
    </row>
    <row r="130" spans="1:15" s="57" customFormat="1">
      <c r="A130" s="5">
        <v>124</v>
      </c>
      <c r="B130" s="11" t="s">
        <v>29</v>
      </c>
      <c r="C130" s="12">
        <v>1000806</v>
      </c>
      <c r="D130" s="11" t="s">
        <v>177</v>
      </c>
      <c r="E130" s="12" t="s">
        <v>40</v>
      </c>
      <c r="F130" s="13">
        <v>45438</v>
      </c>
      <c r="G130" s="13">
        <v>45446</v>
      </c>
      <c r="H130" s="14">
        <v>100000</v>
      </c>
      <c r="I130" s="14"/>
      <c r="J130" s="11"/>
      <c r="K130" s="42" t="s">
        <v>12</v>
      </c>
      <c r="L130" s="16" t="s">
        <v>16</v>
      </c>
      <c r="M130" s="56" t="s">
        <v>246</v>
      </c>
      <c r="N130" s="55">
        <v>100000</v>
      </c>
      <c r="O130" s="56"/>
    </row>
    <row r="131" spans="1:15" s="57" customFormat="1">
      <c r="A131" s="5">
        <v>125</v>
      </c>
      <c r="B131" s="11" t="s">
        <v>29</v>
      </c>
      <c r="C131" s="12">
        <v>1002512</v>
      </c>
      <c r="D131" s="11" t="s">
        <v>178</v>
      </c>
      <c r="E131" s="12" t="s">
        <v>14</v>
      </c>
      <c r="F131" s="13">
        <v>45443</v>
      </c>
      <c r="G131" s="13">
        <v>45447</v>
      </c>
      <c r="H131" s="14">
        <v>50000</v>
      </c>
      <c r="I131" s="14"/>
      <c r="J131" s="11"/>
      <c r="K131" s="42" t="s">
        <v>12</v>
      </c>
      <c r="L131" s="16" t="s">
        <v>16</v>
      </c>
      <c r="M131" s="56" t="s">
        <v>239</v>
      </c>
      <c r="N131" s="55">
        <v>50000</v>
      </c>
      <c r="O131" s="56"/>
    </row>
    <row r="132" spans="1:15" s="57" customFormat="1">
      <c r="A132" s="5">
        <v>126</v>
      </c>
      <c r="B132" s="11" t="s">
        <v>29</v>
      </c>
      <c r="C132" s="12">
        <v>1001972</v>
      </c>
      <c r="D132" s="11" t="s">
        <v>179</v>
      </c>
      <c r="E132" s="12" t="s">
        <v>42</v>
      </c>
      <c r="F132" s="13">
        <v>45442</v>
      </c>
      <c r="G132" s="13">
        <v>45448</v>
      </c>
      <c r="H132" s="14">
        <v>50000</v>
      </c>
      <c r="I132" s="14"/>
      <c r="J132" s="11"/>
      <c r="K132" s="42" t="s">
        <v>12</v>
      </c>
      <c r="L132" s="16" t="s">
        <v>16</v>
      </c>
      <c r="M132" s="56" t="s">
        <v>239</v>
      </c>
      <c r="N132" s="55">
        <v>50000</v>
      </c>
      <c r="O132" s="56"/>
    </row>
    <row r="133" spans="1:15" s="57" customFormat="1">
      <c r="A133" s="5">
        <v>127</v>
      </c>
      <c r="B133" s="11" t="s">
        <v>29</v>
      </c>
      <c r="C133" s="12">
        <v>1006125</v>
      </c>
      <c r="D133" s="11" t="s">
        <v>180</v>
      </c>
      <c r="E133" s="12" t="s">
        <v>42</v>
      </c>
      <c r="F133" s="13">
        <v>45442</v>
      </c>
      <c r="G133" s="13">
        <v>45448</v>
      </c>
      <c r="H133" s="14">
        <v>50000</v>
      </c>
      <c r="I133" s="14"/>
      <c r="J133" s="11"/>
      <c r="K133" s="42" t="s">
        <v>12</v>
      </c>
      <c r="L133" s="16" t="s">
        <v>16</v>
      </c>
      <c r="M133" s="56" t="s">
        <v>239</v>
      </c>
      <c r="N133" s="55">
        <v>50000</v>
      </c>
      <c r="O133" s="56"/>
    </row>
    <row r="134" spans="1:15" s="57" customFormat="1">
      <c r="A134" s="5">
        <v>128</v>
      </c>
      <c r="B134" s="6" t="s">
        <v>30</v>
      </c>
      <c r="C134" s="7">
        <v>1004062</v>
      </c>
      <c r="D134" s="6" t="s">
        <v>181</v>
      </c>
      <c r="E134" s="7" t="s">
        <v>49</v>
      </c>
      <c r="F134" s="8">
        <v>45441</v>
      </c>
      <c r="G134" s="8">
        <v>45449</v>
      </c>
      <c r="H134" s="9">
        <v>100000</v>
      </c>
      <c r="I134" s="9">
        <f>SUM(H134:H144)</f>
        <v>1400000</v>
      </c>
      <c r="J134" s="6"/>
      <c r="K134" s="39" t="s">
        <v>26</v>
      </c>
      <c r="L134" s="10" t="s">
        <v>13</v>
      </c>
      <c r="M134" s="53" t="s">
        <v>246</v>
      </c>
      <c r="N134" s="52">
        <v>100000</v>
      </c>
      <c r="O134" s="56"/>
    </row>
    <row r="135" spans="1:15" s="57" customFormat="1">
      <c r="A135" s="5">
        <v>129</v>
      </c>
      <c r="B135" s="6" t="s">
        <v>30</v>
      </c>
      <c r="C135" s="45">
        <v>1008760</v>
      </c>
      <c r="D135" s="6" t="s">
        <v>182</v>
      </c>
      <c r="E135" s="7" t="s">
        <v>183</v>
      </c>
      <c r="F135" s="8">
        <v>45432</v>
      </c>
      <c r="G135" s="8">
        <v>45449</v>
      </c>
      <c r="H135" s="9">
        <v>50000</v>
      </c>
      <c r="I135" s="9"/>
      <c r="J135" s="6"/>
      <c r="K135" s="39" t="s">
        <v>26</v>
      </c>
      <c r="L135" s="10" t="s">
        <v>13</v>
      </c>
      <c r="M135" s="53" t="s">
        <v>259</v>
      </c>
      <c r="N135" s="70">
        <v>0</v>
      </c>
      <c r="O135" s="56"/>
    </row>
    <row r="136" spans="1:15" s="57" customFormat="1">
      <c r="A136" s="5">
        <v>130</v>
      </c>
      <c r="B136" s="6" t="s">
        <v>30</v>
      </c>
      <c r="C136" s="7">
        <v>1001336</v>
      </c>
      <c r="D136" s="6" t="s">
        <v>184</v>
      </c>
      <c r="E136" s="7" t="s">
        <v>40</v>
      </c>
      <c r="F136" s="8">
        <v>45444</v>
      </c>
      <c r="G136" s="8">
        <v>45450</v>
      </c>
      <c r="H136" s="9">
        <v>50000</v>
      </c>
      <c r="I136" s="9"/>
      <c r="J136" s="6"/>
      <c r="K136" s="39" t="s">
        <v>26</v>
      </c>
      <c r="L136" s="10" t="s">
        <v>13</v>
      </c>
      <c r="M136" s="53" t="s">
        <v>239</v>
      </c>
      <c r="N136" s="52">
        <v>50000</v>
      </c>
      <c r="O136" s="56"/>
    </row>
    <row r="137" spans="1:15" s="57" customFormat="1">
      <c r="A137" s="5">
        <v>131</v>
      </c>
      <c r="B137" s="6" t="s">
        <v>30</v>
      </c>
      <c r="C137" s="7">
        <v>1004069</v>
      </c>
      <c r="D137" s="6" t="s">
        <v>185</v>
      </c>
      <c r="E137" s="7" t="s">
        <v>49</v>
      </c>
      <c r="F137" s="8">
        <v>45443</v>
      </c>
      <c r="G137" s="8">
        <v>45450</v>
      </c>
      <c r="H137" s="9">
        <v>50000</v>
      </c>
      <c r="I137" s="9"/>
      <c r="J137" s="6"/>
      <c r="K137" s="39" t="s">
        <v>26</v>
      </c>
      <c r="L137" s="10" t="s">
        <v>13</v>
      </c>
      <c r="M137" s="53" t="s">
        <v>239</v>
      </c>
      <c r="N137" s="52">
        <v>50000</v>
      </c>
      <c r="O137" s="56"/>
    </row>
    <row r="138" spans="1:15" s="57" customFormat="1">
      <c r="A138" s="5">
        <v>132</v>
      </c>
      <c r="B138" s="6" t="s">
        <v>30</v>
      </c>
      <c r="C138" s="7">
        <v>1003027</v>
      </c>
      <c r="D138" s="6" t="s">
        <v>186</v>
      </c>
      <c r="E138" s="7" t="s">
        <v>49</v>
      </c>
      <c r="F138" s="8">
        <v>45445</v>
      </c>
      <c r="G138" s="8">
        <v>45451</v>
      </c>
      <c r="H138" s="9">
        <v>50000</v>
      </c>
      <c r="I138" s="9"/>
      <c r="J138" s="6"/>
      <c r="K138" s="39" t="s">
        <v>26</v>
      </c>
      <c r="L138" s="10" t="s">
        <v>13</v>
      </c>
      <c r="M138" s="53" t="s">
        <v>239</v>
      </c>
      <c r="N138" s="52">
        <v>50000</v>
      </c>
      <c r="O138" s="56"/>
    </row>
    <row r="139" spans="1:15" s="57" customFormat="1">
      <c r="A139" s="5">
        <v>133</v>
      </c>
      <c r="B139" s="6" t="s">
        <v>30</v>
      </c>
      <c r="C139" s="7">
        <v>1005329</v>
      </c>
      <c r="D139" s="6" t="s">
        <v>147</v>
      </c>
      <c r="E139" s="7" t="s">
        <v>14</v>
      </c>
      <c r="F139" s="8">
        <v>45444</v>
      </c>
      <c r="G139" s="8">
        <v>45451</v>
      </c>
      <c r="H139" s="9">
        <v>50000</v>
      </c>
      <c r="I139" s="9"/>
      <c r="J139" s="6"/>
      <c r="K139" s="39" t="s">
        <v>26</v>
      </c>
      <c r="L139" s="10" t="s">
        <v>13</v>
      </c>
      <c r="M139" s="53" t="s">
        <v>239</v>
      </c>
      <c r="N139" s="52">
        <v>50000</v>
      </c>
      <c r="O139" s="56"/>
    </row>
    <row r="140" spans="1:15" s="57" customFormat="1">
      <c r="A140" s="5">
        <v>134</v>
      </c>
      <c r="B140" s="6" t="s">
        <v>30</v>
      </c>
      <c r="C140" s="7">
        <v>1007206</v>
      </c>
      <c r="D140" s="6" t="s">
        <v>187</v>
      </c>
      <c r="E140" s="7" t="s">
        <v>37</v>
      </c>
      <c r="F140" s="8">
        <v>45448</v>
      </c>
      <c r="G140" s="8">
        <v>45452</v>
      </c>
      <c r="H140" s="9">
        <v>400000</v>
      </c>
      <c r="I140" s="9"/>
      <c r="J140" s="6"/>
      <c r="K140" s="39" t="s">
        <v>26</v>
      </c>
      <c r="L140" s="10" t="s">
        <v>13</v>
      </c>
      <c r="M140" s="53" t="s">
        <v>258</v>
      </c>
      <c r="N140" s="52">
        <v>400000</v>
      </c>
      <c r="O140" s="56"/>
    </row>
    <row r="141" spans="1:15" s="57" customFormat="1">
      <c r="A141" s="5">
        <v>135</v>
      </c>
      <c r="B141" s="6" t="s">
        <v>30</v>
      </c>
      <c r="C141" s="7">
        <v>1002681</v>
      </c>
      <c r="D141" s="6" t="s">
        <v>188</v>
      </c>
      <c r="E141" s="7" t="s">
        <v>14</v>
      </c>
      <c r="F141" s="8">
        <v>45446</v>
      </c>
      <c r="G141" s="8">
        <v>45453</v>
      </c>
      <c r="H141" s="9">
        <v>50000</v>
      </c>
      <c r="I141" s="9"/>
      <c r="J141" s="6"/>
      <c r="K141" s="39" t="s">
        <v>26</v>
      </c>
      <c r="L141" s="10" t="s">
        <v>13</v>
      </c>
      <c r="M141" s="53" t="s">
        <v>239</v>
      </c>
      <c r="N141" s="52">
        <v>50000</v>
      </c>
      <c r="O141" s="56"/>
    </row>
    <row r="142" spans="1:15" s="57" customFormat="1">
      <c r="A142" s="5">
        <v>136</v>
      </c>
      <c r="B142" s="6" t="s">
        <v>30</v>
      </c>
      <c r="C142" s="7">
        <v>1004896</v>
      </c>
      <c r="D142" s="6" t="s">
        <v>189</v>
      </c>
      <c r="E142" s="7" t="s">
        <v>40</v>
      </c>
      <c r="F142" s="8">
        <v>45445</v>
      </c>
      <c r="G142" s="8">
        <v>45454</v>
      </c>
      <c r="H142" s="9">
        <v>50000</v>
      </c>
      <c r="I142" s="9"/>
      <c r="J142" s="6"/>
      <c r="K142" s="39" t="s">
        <v>26</v>
      </c>
      <c r="L142" s="10" t="s">
        <v>13</v>
      </c>
      <c r="M142" s="53" t="s">
        <v>239</v>
      </c>
      <c r="N142" s="52">
        <v>50000</v>
      </c>
      <c r="O142" s="56"/>
    </row>
    <row r="143" spans="1:15" s="57" customFormat="1">
      <c r="A143" s="5">
        <v>137</v>
      </c>
      <c r="B143" s="6" t="s">
        <v>30</v>
      </c>
      <c r="C143" s="45">
        <v>1004922</v>
      </c>
      <c r="D143" s="6" t="s">
        <v>190</v>
      </c>
      <c r="E143" s="7" t="s">
        <v>191</v>
      </c>
      <c r="F143" s="8">
        <v>45444</v>
      </c>
      <c r="G143" s="8">
        <v>45454</v>
      </c>
      <c r="H143" s="9">
        <v>500000</v>
      </c>
      <c r="I143" s="9"/>
      <c r="J143" s="6"/>
      <c r="K143" s="39" t="s">
        <v>26</v>
      </c>
      <c r="L143" s="10" t="s">
        <v>13</v>
      </c>
      <c r="M143" s="53" t="s">
        <v>253</v>
      </c>
      <c r="N143" s="70">
        <v>0</v>
      </c>
      <c r="O143" s="56"/>
    </row>
    <row r="144" spans="1:15" s="57" customFormat="1">
      <c r="A144" s="5">
        <v>138</v>
      </c>
      <c r="B144" s="6" t="s">
        <v>30</v>
      </c>
      <c r="C144" s="7">
        <v>1005530</v>
      </c>
      <c r="D144" s="6" t="s">
        <v>55</v>
      </c>
      <c r="E144" s="7" t="s">
        <v>40</v>
      </c>
      <c r="F144" s="8">
        <v>45445</v>
      </c>
      <c r="G144" s="8">
        <v>45454</v>
      </c>
      <c r="H144" s="9">
        <v>50000</v>
      </c>
      <c r="I144" s="9"/>
      <c r="J144" s="6"/>
      <c r="K144" s="39" t="s">
        <v>26</v>
      </c>
      <c r="L144" s="10" t="s">
        <v>13</v>
      </c>
      <c r="M144" s="53" t="s">
        <v>239</v>
      </c>
      <c r="N144" s="52">
        <v>50000</v>
      </c>
      <c r="O144" s="56"/>
    </row>
    <row r="145" spans="1:15" s="57" customFormat="1">
      <c r="A145" s="5">
        <v>139</v>
      </c>
      <c r="B145" s="11" t="s">
        <v>31</v>
      </c>
      <c r="C145" s="12">
        <v>1005363</v>
      </c>
      <c r="D145" s="11" t="s">
        <v>192</v>
      </c>
      <c r="E145" s="12" t="s">
        <v>40</v>
      </c>
      <c r="F145" s="13">
        <v>45443</v>
      </c>
      <c r="G145" s="13">
        <v>45456</v>
      </c>
      <c r="H145" s="14">
        <v>50000</v>
      </c>
      <c r="I145" s="14">
        <f>SUM(H145:H150)</f>
        <v>1750000</v>
      </c>
      <c r="J145" s="11" t="s">
        <v>227</v>
      </c>
      <c r="K145" s="42" t="s">
        <v>44</v>
      </c>
      <c r="L145" s="16" t="s">
        <v>16</v>
      </c>
      <c r="M145" s="63" t="s">
        <v>260</v>
      </c>
      <c r="N145" s="52">
        <v>50000</v>
      </c>
      <c r="O145" s="56"/>
    </row>
    <row r="146" spans="1:15" s="57" customFormat="1">
      <c r="A146" s="5">
        <v>140</v>
      </c>
      <c r="B146" s="11" t="s">
        <v>31</v>
      </c>
      <c r="C146" s="45">
        <v>1001096</v>
      </c>
      <c r="D146" s="11" t="s">
        <v>193</v>
      </c>
      <c r="E146" s="12" t="s">
        <v>131</v>
      </c>
      <c r="F146" s="13">
        <v>45451</v>
      </c>
      <c r="G146" s="13">
        <v>45458</v>
      </c>
      <c r="H146" s="14">
        <v>50000</v>
      </c>
      <c r="I146" s="14"/>
      <c r="J146" s="11"/>
      <c r="K146" s="39" t="s">
        <v>26</v>
      </c>
      <c r="L146" s="17" t="s">
        <v>13</v>
      </c>
      <c r="M146" s="61" t="s">
        <v>261</v>
      </c>
      <c r="N146" s="65">
        <v>0</v>
      </c>
      <c r="O146" s="56"/>
    </row>
    <row r="147" spans="1:15" s="57" customFormat="1">
      <c r="A147" s="5">
        <v>141</v>
      </c>
      <c r="B147" s="11" t="s">
        <v>31</v>
      </c>
      <c r="C147" s="45">
        <v>1002166</v>
      </c>
      <c r="D147" s="11" t="s">
        <v>194</v>
      </c>
      <c r="E147" s="12" t="s">
        <v>183</v>
      </c>
      <c r="F147" s="13">
        <v>45451</v>
      </c>
      <c r="G147" s="13">
        <v>45460</v>
      </c>
      <c r="H147" s="14">
        <v>50000</v>
      </c>
      <c r="I147" s="14"/>
      <c r="J147" s="11"/>
      <c r="K147" s="39" t="s">
        <v>26</v>
      </c>
      <c r="L147" s="17" t="s">
        <v>13</v>
      </c>
      <c r="M147" s="61" t="s">
        <v>262</v>
      </c>
      <c r="N147" s="65">
        <v>0</v>
      </c>
      <c r="O147" s="56"/>
    </row>
    <row r="148" spans="1:15" s="57" customFormat="1">
      <c r="A148" s="5">
        <v>142</v>
      </c>
      <c r="B148" s="11" t="s">
        <v>31</v>
      </c>
      <c r="C148" s="12">
        <v>1003295</v>
      </c>
      <c r="D148" s="11" t="s">
        <v>195</v>
      </c>
      <c r="E148" s="12" t="s">
        <v>42</v>
      </c>
      <c r="F148" s="13">
        <v>45455</v>
      </c>
      <c r="G148" s="13">
        <v>45460</v>
      </c>
      <c r="H148" s="14">
        <v>50000</v>
      </c>
      <c r="I148" s="14"/>
      <c r="J148" s="11"/>
      <c r="K148" s="39" t="s">
        <v>26</v>
      </c>
      <c r="L148" s="17" t="s">
        <v>13</v>
      </c>
      <c r="M148" s="61" t="s">
        <v>239</v>
      </c>
      <c r="N148" s="65">
        <v>50000</v>
      </c>
      <c r="O148" s="56"/>
    </row>
    <row r="149" spans="1:15" s="57" customFormat="1">
      <c r="A149" s="5">
        <v>143</v>
      </c>
      <c r="B149" s="11" t="s">
        <v>31</v>
      </c>
      <c r="C149" s="12">
        <v>1004974</v>
      </c>
      <c r="D149" s="11" t="s">
        <v>122</v>
      </c>
      <c r="E149" s="12" t="s">
        <v>40</v>
      </c>
      <c r="F149" s="13">
        <v>45452</v>
      </c>
      <c r="G149" s="13">
        <v>45460</v>
      </c>
      <c r="H149" s="14">
        <v>50000</v>
      </c>
      <c r="I149" s="14"/>
      <c r="J149" s="11"/>
      <c r="K149" s="39" t="s">
        <v>26</v>
      </c>
      <c r="L149" s="17" t="s">
        <v>13</v>
      </c>
      <c r="M149" s="61" t="s">
        <v>239</v>
      </c>
      <c r="N149" s="65">
        <v>50000</v>
      </c>
      <c r="O149" s="56"/>
    </row>
    <row r="150" spans="1:15" s="57" customFormat="1">
      <c r="A150" s="5">
        <v>144</v>
      </c>
      <c r="B150" s="11" t="s">
        <v>31</v>
      </c>
      <c r="C150" s="25">
        <v>1007444</v>
      </c>
      <c r="D150" s="26" t="s">
        <v>196</v>
      </c>
      <c r="E150" s="25" t="s">
        <v>14</v>
      </c>
      <c r="F150" s="27">
        <v>45444</v>
      </c>
      <c r="G150" s="27">
        <v>45448</v>
      </c>
      <c r="H150" s="20">
        <v>1500000</v>
      </c>
      <c r="I150" s="20"/>
      <c r="J150" s="25" t="s">
        <v>67</v>
      </c>
      <c r="K150" s="39" t="s">
        <v>26</v>
      </c>
      <c r="L150" s="17" t="s">
        <v>13</v>
      </c>
      <c r="M150" s="61" t="s">
        <v>263</v>
      </c>
      <c r="N150" s="66">
        <v>1500000</v>
      </c>
      <c r="O150" s="56"/>
    </row>
    <row r="151" spans="1:15" s="57" customFormat="1">
      <c r="A151" s="5">
        <v>145</v>
      </c>
      <c r="B151" s="6" t="s">
        <v>32</v>
      </c>
      <c r="C151" s="45">
        <v>1001213</v>
      </c>
      <c r="D151" s="6" t="s">
        <v>197</v>
      </c>
      <c r="E151" s="7" t="s">
        <v>131</v>
      </c>
      <c r="F151" s="8">
        <v>45457</v>
      </c>
      <c r="G151" s="8">
        <v>45464</v>
      </c>
      <c r="H151" s="9">
        <v>50000</v>
      </c>
      <c r="I151" s="9">
        <f>SUM(H151:H161)</f>
        <v>1250000</v>
      </c>
      <c r="J151" s="6"/>
      <c r="K151" s="39" t="s">
        <v>26</v>
      </c>
      <c r="L151" s="17" t="s">
        <v>13</v>
      </c>
      <c r="M151" s="61" t="s">
        <v>261</v>
      </c>
      <c r="N151" s="65">
        <v>0</v>
      </c>
      <c r="O151" s="56"/>
    </row>
    <row r="152" spans="1:15" s="57" customFormat="1">
      <c r="A152" s="5">
        <v>146</v>
      </c>
      <c r="B152" s="6" t="s">
        <v>32</v>
      </c>
      <c r="C152" s="7">
        <v>1005369</v>
      </c>
      <c r="D152" s="6" t="s">
        <v>198</v>
      </c>
      <c r="E152" s="7" t="s">
        <v>40</v>
      </c>
      <c r="F152" s="8">
        <v>45457</v>
      </c>
      <c r="G152" s="8">
        <v>45464</v>
      </c>
      <c r="H152" s="9">
        <v>100000</v>
      </c>
      <c r="I152" s="9"/>
      <c r="J152" s="6"/>
      <c r="K152" s="39" t="s">
        <v>26</v>
      </c>
      <c r="L152" s="17" t="s">
        <v>13</v>
      </c>
      <c r="M152" s="61" t="s">
        <v>246</v>
      </c>
      <c r="N152" s="65">
        <v>100000</v>
      </c>
      <c r="O152" s="56"/>
    </row>
    <row r="153" spans="1:15" s="57" customFormat="1">
      <c r="A153" s="5">
        <v>147</v>
      </c>
      <c r="B153" s="6" t="s">
        <v>32</v>
      </c>
      <c r="C153" s="7">
        <v>1006573</v>
      </c>
      <c r="D153" s="6" t="s">
        <v>199</v>
      </c>
      <c r="E153" s="7" t="s">
        <v>49</v>
      </c>
      <c r="F153" s="8">
        <v>45458</v>
      </c>
      <c r="G153" s="8">
        <v>45464</v>
      </c>
      <c r="H153" s="9">
        <v>50000</v>
      </c>
      <c r="I153" s="9"/>
      <c r="J153" s="6"/>
      <c r="K153" s="39" t="s">
        <v>26</v>
      </c>
      <c r="L153" s="17" t="s">
        <v>13</v>
      </c>
      <c r="M153" s="61" t="s">
        <v>239</v>
      </c>
      <c r="N153" s="65">
        <v>50000</v>
      </c>
      <c r="O153" s="56"/>
    </row>
    <row r="154" spans="1:15" s="57" customFormat="1">
      <c r="A154" s="5">
        <v>148</v>
      </c>
      <c r="B154" s="6" t="s">
        <v>32</v>
      </c>
      <c r="C154" s="7">
        <v>1009870</v>
      </c>
      <c r="D154" s="6" t="s">
        <v>200</v>
      </c>
      <c r="E154" s="7" t="s">
        <v>42</v>
      </c>
      <c r="F154" s="8">
        <v>45456</v>
      </c>
      <c r="G154" s="8">
        <v>45464</v>
      </c>
      <c r="H154" s="9">
        <v>500000</v>
      </c>
      <c r="I154" s="9"/>
      <c r="J154" s="6"/>
      <c r="K154" s="39" t="s">
        <v>26</v>
      </c>
      <c r="L154" s="17" t="s">
        <v>13</v>
      </c>
      <c r="M154" s="61" t="s">
        <v>264</v>
      </c>
      <c r="N154" s="65">
        <v>500000</v>
      </c>
      <c r="O154" s="56"/>
    </row>
    <row r="155" spans="1:15" s="57" customFormat="1">
      <c r="A155" s="5">
        <v>149</v>
      </c>
      <c r="B155" s="6" t="s">
        <v>32</v>
      </c>
      <c r="C155" s="7">
        <v>1000324</v>
      </c>
      <c r="D155" s="6" t="s">
        <v>201</v>
      </c>
      <c r="E155" s="7" t="s">
        <v>42</v>
      </c>
      <c r="F155" s="8">
        <v>45459</v>
      </c>
      <c r="G155" s="8">
        <v>45465</v>
      </c>
      <c r="H155" s="9">
        <v>50000</v>
      </c>
      <c r="I155" s="9"/>
      <c r="J155" s="6"/>
      <c r="K155" s="39" t="s">
        <v>26</v>
      </c>
      <c r="L155" s="17" t="s">
        <v>13</v>
      </c>
      <c r="M155" s="61" t="s">
        <v>239</v>
      </c>
      <c r="N155" s="65">
        <v>50000</v>
      </c>
      <c r="O155" s="56"/>
    </row>
    <row r="156" spans="1:15" s="57" customFormat="1">
      <c r="A156" s="5">
        <v>150</v>
      </c>
      <c r="B156" s="6" t="s">
        <v>32</v>
      </c>
      <c r="C156" s="7">
        <v>1001609</v>
      </c>
      <c r="D156" s="6" t="s">
        <v>202</v>
      </c>
      <c r="E156" s="7" t="s">
        <v>42</v>
      </c>
      <c r="F156" s="8">
        <v>45455</v>
      </c>
      <c r="G156" s="8">
        <v>45465</v>
      </c>
      <c r="H156" s="9">
        <v>50000</v>
      </c>
      <c r="I156" s="9"/>
      <c r="J156" s="6"/>
      <c r="K156" s="39" t="s">
        <v>26</v>
      </c>
      <c r="L156" s="17" t="s">
        <v>13</v>
      </c>
      <c r="M156" s="61" t="s">
        <v>239</v>
      </c>
      <c r="N156" s="65">
        <v>50000</v>
      </c>
      <c r="O156" s="56"/>
    </row>
    <row r="157" spans="1:15" s="57" customFormat="1">
      <c r="A157" s="5">
        <v>151</v>
      </c>
      <c r="B157" s="6" t="s">
        <v>32</v>
      </c>
      <c r="C157" s="7">
        <v>1000887</v>
      </c>
      <c r="D157" s="6" t="s">
        <v>203</v>
      </c>
      <c r="E157" s="7" t="s">
        <v>40</v>
      </c>
      <c r="F157" s="8">
        <v>45463</v>
      </c>
      <c r="G157" s="8">
        <v>45466</v>
      </c>
      <c r="H157" s="9">
        <v>50000</v>
      </c>
      <c r="I157" s="9"/>
      <c r="J157" s="6"/>
      <c r="K157" s="39" t="s">
        <v>26</v>
      </c>
      <c r="L157" s="17" t="s">
        <v>13</v>
      </c>
      <c r="M157" s="61" t="s">
        <v>239</v>
      </c>
      <c r="N157" s="65">
        <v>50000</v>
      </c>
      <c r="O157" s="56"/>
    </row>
    <row r="158" spans="1:15" s="57" customFormat="1">
      <c r="A158" s="5">
        <v>152</v>
      </c>
      <c r="B158" s="6" t="s">
        <v>32</v>
      </c>
      <c r="C158" s="7">
        <v>1001863</v>
      </c>
      <c r="D158" s="6" t="s">
        <v>204</v>
      </c>
      <c r="E158" s="7" t="s">
        <v>49</v>
      </c>
      <c r="F158" s="8">
        <v>45457</v>
      </c>
      <c r="G158" s="8">
        <v>45466</v>
      </c>
      <c r="H158" s="9">
        <v>50000</v>
      </c>
      <c r="I158" s="9"/>
      <c r="J158" s="6"/>
      <c r="K158" s="39" t="s">
        <v>26</v>
      </c>
      <c r="L158" s="17" t="s">
        <v>13</v>
      </c>
      <c r="M158" s="61" t="s">
        <v>239</v>
      </c>
      <c r="N158" s="65">
        <v>50000</v>
      </c>
      <c r="O158" s="56"/>
    </row>
    <row r="159" spans="1:15" s="57" customFormat="1">
      <c r="A159" s="5">
        <v>153</v>
      </c>
      <c r="B159" s="6" t="s">
        <v>32</v>
      </c>
      <c r="C159" s="7">
        <v>1005445</v>
      </c>
      <c r="D159" s="6" t="s">
        <v>205</v>
      </c>
      <c r="E159" s="7" t="s">
        <v>11</v>
      </c>
      <c r="F159" s="8">
        <v>45456</v>
      </c>
      <c r="G159" s="8">
        <v>45466</v>
      </c>
      <c r="H159" s="9">
        <v>200000</v>
      </c>
      <c r="I159" s="9"/>
      <c r="J159" s="6"/>
      <c r="K159" s="39" t="s">
        <v>26</v>
      </c>
      <c r="L159" s="17" t="s">
        <v>13</v>
      </c>
      <c r="M159" s="61" t="s">
        <v>265</v>
      </c>
      <c r="N159" s="65">
        <v>200000</v>
      </c>
      <c r="O159" s="56"/>
    </row>
    <row r="160" spans="1:15" s="57" customFormat="1">
      <c r="A160" s="5">
        <v>154</v>
      </c>
      <c r="B160" s="6" t="s">
        <v>32</v>
      </c>
      <c r="C160" s="7">
        <v>1006418</v>
      </c>
      <c r="D160" s="6" t="s">
        <v>206</v>
      </c>
      <c r="E160" s="7" t="s">
        <v>131</v>
      </c>
      <c r="F160" s="8">
        <v>45460</v>
      </c>
      <c r="G160" s="8">
        <v>45466</v>
      </c>
      <c r="H160" s="9">
        <v>100000</v>
      </c>
      <c r="I160" s="9"/>
      <c r="J160" s="6"/>
      <c r="K160" s="39" t="s">
        <v>26</v>
      </c>
      <c r="L160" s="17" t="s">
        <v>13</v>
      </c>
      <c r="M160" s="61" t="s">
        <v>246</v>
      </c>
      <c r="N160" s="65">
        <v>100000</v>
      </c>
      <c r="O160" s="56"/>
    </row>
    <row r="161" spans="1:15" s="57" customFormat="1">
      <c r="A161" s="5">
        <v>155</v>
      </c>
      <c r="B161" s="6" t="s">
        <v>32</v>
      </c>
      <c r="C161" s="7">
        <v>1005618</v>
      </c>
      <c r="D161" s="6" t="s">
        <v>73</v>
      </c>
      <c r="E161" s="7" t="s">
        <v>49</v>
      </c>
      <c r="F161" s="8">
        <v>45459</v>
      </c>
      <c r="G161" s="8">
        <v>45467</v>
      </c>
      <c r="H161" s="9">
        <v>50000</v>
      </c>
      <c r="I161" s="9"/>
      <c r="J161" s="6"/>
      <c r="K161" s="39" t="s">
        <v>26</v>
      </c>
      <c r="L161" s="17" t="s">
        <v>13</v>
      </c>
      <c r="M161" s="61" t="s">
        <v>239</v>
      </c>
      <c r="N161" s="65">
        <v>50000</v>
      </c>
      <c r="O161" s="56"/>
    </row>
    <row r="162" spans="1:15" s="57" customFormat="1">
      <c r="A162" s="5">
        <v>156</v>
      </c>
      <c r="B162" s="11" t="s">
        <v>207</v>
      </c>
      <c r="C162" s="12">
        <v>1000119</v>
      </c>
      <c r="D162" s="11" t="s">
        <v>208</v>
      </c>
      <c r="E162" s="12" t="s">
        <v>42</v>
      </c>
      <c r="F162" s="13">
        <v>45462</v>
      </c>
      <c r="G162" s="13">
        <v>45468</v>
      </c>
      <c r="H162" s="14">
        <v>50000</v>
      </c>
      <c r="I162" s="14">
        <f>SUM(H162:H165)</f>
        <v>300000</v>
      </c>
      <c r="J162" s="11"/>
      <c r="K162" s="39" t="s">
        <v>26</v>
      </c>
      <c r="L162" s="17" t="s">
        <v>13</v>
      </c>
      <c r="M162" s="61" t="s">
        <v>239</v>
      </c>
      <c r="N162" s="65">
        <v>50000</v>
      </c>
      <c r="O162" s="56"/>
    </row>
    <row r="163" spans="1:15" s="57" customFormat="1">
      <c r="A163" s="5">
        <v>157</v>
      </c>
      <c r="B163" s="11" t="s">
        <v>207</v>
      </c>
      <c r="C163" s="12">
        <v>1009837</v>
      </c>
      <c r="D163" s="11" t="s">
        <v>209</v>
      </c>
      <c r="E163" s="12" t="s">
        <v>42</v>
      </c>
      <c r="F163" s="13">
        <v>45456</v>
      </c>
      <c r="G163" s="13">
        <v>45468</v>
      </c>
      <c r="H163" s="14">
        <v>50000</v>
      </c>
      <c r="I163" s="14"/>
      <c r="J163" s="11"/>
      <c r="K163" s="39" t="s">
        <v>26</v>
      </c>
      <c r="L163" s="17" t="s">
        <v>13</v>
      </c>
      <c r="M163" s="61" t="s">
        <v>239</v>
      </c>
      <c r="N163" s="65">
        <v>50000</v>
      </c>
      <c r="O163" s="56"/>
    </row>
    <row r="164" spans="1:15" s="57" customFormat="1">
      <c r="A164" s="5">
        <v>158</v>
      </c>
      <c r="B164" s="11" t="s">
        <v>207</v>
      </c>
      <c r="C164" s="12">
        <v>1004866</v>
      </c>
      <c r="D164" s="11" t="s">
        <v>210</v>
      </c>
      <c r="E164" s="12" t="s">
        <v>49</v>
      </c>
      <c r="F164" s="13">
        <v>45465</v>
      </c>
      <c r="G164" s="13">
        <v>45470</v>
      </c>
      <c r="H164" s="14">
        <v>150000</v>
      </c>
      <c r="I164" s="14"/>
      <c r="J164" s="11"/>
      <c r="K164" s="39" t="s">
        <v>26</v>
      </c>
      <c r="L164" s="17" t="s">
        <v>13</v>
      </c>
      <c r="M164" s="61" t="s">
        <v>251</v>
      </c>
      <c r="N164" s="65">
        <v>150000</v>
      </c>
      <c r="O164" s="56"/>
    </row>
    <row r="165" spans="1:15" s="57" customFormat="1">
      <c r="A165" s="5">
        <v>159</v>
      </c>
      <c r="B165" s="11" t="s">
        <v>207</v>
      </c>
      <c r="C165" s="45">
        <v>1008253</v>
      </c>
      <c r="D165" s="11" t="s">
        <v>211</v>
      </c>
      <c r="E165" s="12" t="s">
        <v>212</v>
      </c>
      <c r="F165" s="13">
        <v>45463</v>
      </c>
      <c r="G165" s="13">
        <v>45470</v>
      </c>
      <c r="H165" s="14">
        <v>50000</v>
      </c>
      <c r="I165" s="14"/>
      <c r="J165" s="11"/>
      <c r="K165" s="39" t="s">
        <v>26</v>
      </c>
      <c r="L165" s="17" t="s">
        <v>13</v>
      </c>
      <c r="M165" s="61" t="s">
        <v>266</v>
      </c>
      <c r="N165" s="65">
        <v>0</v>
      </c>
      <c r="O165" s="56"/>
    </row>
    <row r="166" spans="1:15" s="57" customFormat="1">
      <c r="A166" s="5">
        <v>160</v>
      </c>
      <c r="B166" s="6" t="s">
        <v>213</v>
      </c>
      <c r="C166" s="45">
        <v>1002793</v>
      </c>
      <c r="D166" s="6" t="s">
        <v>214</v>
      </c>
      <c r="E166" s="7" t="s">
        <v>11</v>
      </c>
      <c r="F166" s="8">
        <v>45462</v>
      </c>
      <c r="G166" s="8">
        <v>45471</v>
      </c>
      <c r="H166" s="9">
        <v>50000</v>
      </c>
      <c r="I166" s="9">
        <f>SUM(H166:H175)</f>
        <v>1150000</v>
      </c>
      <c r="J166" s="6"/>
      <c r="K166" s="39" t="s">
        <v>26</v>
      </c>
      <c r="L166" s="17" t="s">
        <v>13</v>
      </c>
      <c r="M166" s="60" t="s">
        <v>267</v>
      </c>
      <c r="N166" s="70">
        <v>0</v>
      </c>
      <c r="O166" s="56"/>
    </row>
    <row r="167" spans="1:15" s="57" customFormat="1" ht="14.4">
      <c r="A167" s="5">
        <v>161</v>
      </c>
      <c r="B167" s="6" t="s">
        <v>213</v>
      </c>
      <c r="C167" s="7">
        <v>1003452</v>
      </c>
      <c r="D167" s="6" t="s">
        <v>215</v>
      </c>
      <c r="E167" s="7" t="s">
        <v>37</v>
      </c>
      <c r="F167" s="8">
        <v>45460</v>
      </c>
      <c r="G167" s="8">
        <v>45471</v>
      </c>
      <c r="H167" s="9">
        <v>50000</v>
      </c>
      <c r="I167" s="9"/>
      <c r="J167" s="6"/>
      <c r="K167" s="39" t="s">
        <v>26</v>
      </c>
      <c r="L167" s="17" t="s">
        <v>13</v>
      </c>
      <c r="M167" s="69" t="s">
        <v>239</v>
      </c>
      <c r="N167" s="67">
        <v>50000</v>
      </c>
      <c r="O167" s="56"/>
    </row>
    <row r="168" spans="1:15" s="57" customFormat="1" ht="14.4">
      <c r="A168" s="5">
        <v>162</v>
      </c>
      <c r="B168" s="6" t="s">
        <v>213</v>
      </c>
      <c r="C168" s="7">
        <v>1005908</v>
      </c>
      <c r="D168" s="6" t="s">
        <v>216</v>
      </c>
      <c r="E168" s="7" t="s">
        <v>42</v>
      </c>
      <c r="F168" s="8">
        <v>45464</v>
      </c>
      <c r="G168" s="8">
        <v>45471</v>
      </c>
      <c r="H168" s="9">
        <v>50000</v>
      </c>
      <c r="I168" s="9"/>
      <c r="J168" s="6"/>
      <c r="K168" s="39" t="s">
        <v>26</v>
      </c>
      <c r="L168" s="17" t="s">
        <v>13</v>
      </c>
      <c r="M168" s="69" t="s">
        <v>239</v>
      </c>
      <c r="N168" s="67">
        <v>50000</v>
      </c>
      <c r="O168" s="56"/>
    </row>
    <row r="169" spans="1:15" s="57" customFormat="1" ht="14.4">
      <c r="A169" s="5">
        <v>163</v>
      </c>
      <c r="B169" s="6" t="s">
        <v>213</v>
      </c>
      <c r="C169" s="7">
        <v>1007499</v>
      </c>
      <c r="D169" s="6" t="s">
        <v>217</v>
      </c>
      <c r="E169" s="7" t="s">
        <v>81</v>
      </c>
      <c r="F169" s="8">
        <v>45467</v>
      </c>
      <c r="G169" s="8">
        <v>45471</v>
      </c>
      <c r="H169" s="9">
        <v>200000</v>
      </c>
      <c r="I169" s="9"/>
      <c r="J169" s="6"/>
      <c r="K169" s="39" t="s">
        <v>26</v>
      </c>
      <c r="L169" s="17" t="s">
        <v>13</v>
      </c>
      <c r="M169" s="69" t="s">
        <v>247</v>
      </c>
      <c r="N169" s="67">
        <v>200000</v>
      </c>
      <c r="O169" s="56"/>
    </row>
    <row r="170" spans="1:15" s="57" customFormat="1">
      <c r="A170" s="5">
        <v>164</v>
      </c>
      <c r="B170" s="6" t="s">
        <v>213</v>
      </c>
      <c r="C170" s="45">
        <v>1000244</v>
      </c>
      <c r="D170" s="6" t="s">
        <v>218</v>
      </c>
      <c r="E170" s="7" t="s">
        <v>11</v>
      </c>
      <c r="F170" s="8">
        <v>45467</v>
      </c>
      <c r="G170" s="8">
        <v>45472</v>
      </c>
      <c r="H170" s="9">
        <v>50000</v>
      </c>
      <c r="I170" s="9"/>
      <c r="J170" s="6"/>
      <c r="K170" s="39" t="s">
        <v>26</v>
      </c>
      <c r="L170" s="17" t="s">
        <v>13</v>
      </c>
      <c r="M170" s="60" t="s">
        <v>267</v>
      </c>
      <c r="N170" s="70">
        <v>0</v>
      </c>
      <c r="O170" s="56"/>
    </row>
    <row r="171" spans="1:15" s="57" customFormat="1" ht="14.4">
      <c r="A171" s="5">
        <v>165</v>
      </c>
      <c r="B171" s="6" t="s">
        <v>213</v>
      </c>
      <c r="C171" s="7">
        <v>1004502</v>
      </c>
      <c r="D171" s="6" t="s">
        <v>219</v>
      </c>
      <c r="E171" s="7" t="s">
        <v>49</v>
      </c>
      <c r="F171" s="8">
        <v>45466</v>
      </c>
      <c r="G171" s="8">
        <v>45472</v>
      </c>
      <c r="H171" s="9">
        <v>100000</v>
      </c>
      <c r="I171" s="9"/>
      <c r="J171" s="6"/>
      <c r="K171" s="39" t="s">
        <v>26</v>
      </c>
      <c r="L171" s="17" t="s">
        <v>13</v>
      </c>
      <c r="M171" s="69" t="s">
        <v>246</v>
      </c>
      <c r="N171" s="67">
        <v>100000</v>
      </c>
      <c r="O171" s="56"/>
    </row>
    <row r="172" spans="1:15" s="57" customFormat="1" ht="14.4">
      <c r="A172" s="5">
        <v>166</v>
      </c>
      <c r="B172" s="6" t="s">
        <v>213</v>
      </c>
      <c r="C172" s="7">
        <v>1005088</v>
      </c>
      <c r="D172" s="6" t="s">
        <v>220</v>
      </c>
      <c r="E172" s="7" t="s">
        <v>40</v>
      </c>
      <c r="F172" s="8">
        <v>45463</v>
      </c>
      <c r="G172" s="8">
        <v>45472</v>
      </c>
      <c r="H172" s="9">
        <v>50000</v>
      </c>
      <c r="I172" s="9"/>
      <c r="J172" s="6"/>
      <c r="K172" s="39" t="s">
        <v>26</v>
      </c>
      <c r="L172" s="17" t="s">
        <v>13</v>
      </c>
      <c r="M172" s="69" t="s">
        <v>239</v>
      </c>
      <c r="N172" s="67">
        <v>50000</v>
      </c>
      <c r="O172" s="56"/>
    </row>
    <row r="173" spans="1:15" s="57" customFormat="1">
      <c r="A173" s="5">
        <v>167</v>
      </c>
      <c r="B173" s="6" t="s">
        <v>213</v>
      </c>
      <c r="C173" s="45">
        <v>1005762</v>
      </c>
      <c r="D173" s="6" t="s">
        <v>221</v>
      </c>
      <c r="E173" s="7" t="s">
        <v>11</v>
      </c>
      <c r="F173" s="8">
        <v>45462</v>
      </c>
      <c r="G173" s="8">
        <v>45472</v>
      </c>
      <c r="H173" s="9">
        <v>350000</v>
      </c>
      <c r="I173" s="9"/>
      <c r="J173" s="6"/>
      <c r="K173" s="39" t="s">
        <v>26</v>
      </c>
      <c r="L173" s="17" t="s">
        <v>13</v>
      </c>
      <c r="M173" s="60" t="s">
        <v>268</v>
      </c>
      <c r="N173" s="70">
        <v>0</v>
      </c>
      <c r="O173" s="56"/>
    </row>
    <row r="174" spans="1:15" s="57" customFormat="1" ht="14.4">
      <c r="A174" s="5">
        <v>168</v>
      </c>
      <c r="B174" s="6" t="s">
        <v>213</v>
      </c>
      <c r="C174" s="17">
        <v>1005460</v>
      </c>
      <c r="D174" s="28" t="s">
        <v>222</v>
      </c>
      <c r="E174" s="17" t="s">
        <v>49</v>
      </c>
      <c r="F174" s="29">
        <v>45463</v>
      </c>
      <c r="G174" s="29">
        <v>45471</v>
      </c>
      <c r="H174" s="19">
        <v>50000</v>
      </c>
      <c r="I174" s="19"/>
      <c r="J174" s="17" t="s">
        <v>67</v>
      </c>
      <c r="K174" s="39" t="s">
        <v>26</v>
      </c>
      <c r="L174" s="17" t="s">
        <v>13</v>
      </c>
      <c r="M174" s="69" t="s">
        <v>239</v>
      </c>
      <c r="N174" s="67">
        <v>50000</v>
      </c>
      <c r="O174" s="56"/>
    </row>
    <row r="175" spans="1:15" s="57" customFormat="1">
      <c r="A175" s="5">
        <v>169</v>
      </c>
      <c r="B175" s="6" t="s">
        <v>213</v>
      </c>
      <c r="C175" s="45">
        <v>1001786</v>
      </c>
      <c r="D175" s="6" t="s">
        <v>223</v>
      </c>
      <c r="E175" s="7" t="s">
        <v>11</v>
      </c>
      <c r="F175" s="8">
        <v>45463</v>
      </c>
      <c r="G175" s="8">
        <v>45473</v>
      </c>
      <c r="H175" s="9">
        <v>200000</v>
      </c>
      <c r="I175" s="9"/>
      <c r="J175" s="6"/>
      <c r="K175" s="39" t="s">
        <v>26</v>
      </c>
      <c r="L175" s="17" t="s">
        <v>13</v>
      </c>
      <c r="M175" s="60" t="s">
        <v>269</v>
      </c>
      <c r="N175" s="70">
        <v>0</v>
      </c>
      <c r="O175" s="56"/>
    </row>
    <row r="176" spans="1:15" s="18" customFormat="1">
      <c r="A176" s="71" t="s">
        <v>34</v>
      </c>
      <c r="B176" s="71"/>
      <c r="C176" s="71"/>
      <c r="D176" s="71"/>
      <c r="E176" s="71"/>
      <c r="F176" s="71"/>
      <c r="G176" s="30">
        <f>COUNT(G7:G175)</f>
        <v>169</v>
      </c>
      <c r="H176" s="31">
        <f>SUBTOTAL(9,H7:H175)</f>
        <v>17900000</v>
      </c>
      <c r="I176" s="31">
        <f>SUM(I7:I175)</f>
        <v>17900000</v>
      </c>
      <c r="J176" s="32"/>
      <c r="K176" s="40"/>
      <c r="L176" s="32"/>
      <c r="M176" s="32"/>
      <c r="N176" s="68">
        <f>SUBTOTAL(9,N7:N175)</f>
        <v>16450000</v>
      </c>
      <c r="O176" s="32"/>
    </row>
    <row r="177" spans="1:11" s="18" customFormat="1">
      <c r="A177" s="33"/>
      <c r="B177" s="33"/>
      <c r="C177" s="33"/>
      <c r="D177" s="33"/>
      <c r="E177" s="33"/>
      <c r="F177" s="33"/>
      <c r="G177" s="34"/>
      <c r="H177" s="35"/>
      <c r="I177" s="35"/>
      <c r="K177" s="41"/>
    </row>
    <row r="178" spans="1:11" s="18" customFormat="1">
      <c r="A178" s="33"/>
      <c r="B178" s="33"/>
      <c r="C178" s="33"/>
      <c r="D178" s="33"/>
      <c r="E178" s="33"/>
      <c r="F178" s="33"/>
      <c r="G178" s="34"/>
      <c r="H178" s="35"/>
      <c r="I178" s="35"/>
      <c r="K178" s="41"/>
    </row>
    <row r="179" spans="1:11">
      <c r="B179" s="21" t="s">
        <v>4</v>
      </c>
      <c r="C179" t="s">
        <v>224</v>
      </c>
    </row>
    <row r="181" spans="1:11">
      <c r="B181" s="21" t="s">
        <v>232</v>
      </c>
      <c r="C181" t="s">
        <v>231</v>
      </c>
      <c r="D181" t="s">
        <v>226</v>
      </c>
    </row>
    <row r="182" spans="1:11">
      <c r="B182" s="22" t="s">
        <v>10</v>
      </c>
      <c r="C182">
        <v>20</v>
      </c>
      <c r="D182" s="1">
        <v>1100000</v>
      </c>
    </row>
    <row r="183" spans="1:11">
      <c r="B183" s="22" t="s">
        <v>15</v>
      </c>
      <c r="C183">
        <v>15</v>
      </c>
      <c r="D183" s="1">
        <v>1450000</v>
      </c>
    </row>
    <row r="184" spans="1:11">
      <c r="B184" s="22" t="s">
        <v>17</v>
      </c>
      <c r="C184">
        <v>9</v>
      </c>
      <c r="D184" s="1">
        <v>650000</v>
      </c>
    </row>
    <row r="185" spans="1:11">
      <c r="B185" s="22" t="s">
        <v>18</v>
      </c>
      <c r="C185">
        <v>2</v>
      </c>
      <c r="D185" s="1">
        <v>100000</v>
      </c>
    </row>
    <row r="186" spans="1:11">
      <c r="B186" s="22" t="s">
        <v>21</v>
      </c>
      <c r="C186">
        <v>11</v>
      </c>
      <c r="D186" s="1">
        <v>550000</v>
      </c>
    </row>
    <row r="187" spans="1:11">
      <c r="B187" s="22" t="s">
        <v>22</v>
      </c>
      <c r="C187">
        <v>9</v>
      </c>
      <c r="D187" s="1">
        <v>600000</v>
      </c>
    </row>
    <row r="188" spans="1:11">
      <c r="B188" s="22" t="s">
        <v>23</v>
      </c>
      <c r="C188">
        <v>14</v>
      </c>
      <c r="D188" s="1">
        <v>2100000</v>
      </c>
    </row>
    <row r="189" spans="1:11">
      <c r="B189" s="22" t="s">
        <v>24</v>
      </c>
      <c r="C189">
        <v>11</v>
      </c>
      <c r="D189" s="1">
        <v>1050000</v>
      </c>
    </row>
    <row r="190" spans="1:11">
      <c r="B190" s="22" t="s">
        <v>25</v>
      </c>
      <c r="C190">
        <v>8</v>
      </c>
      <c r="D190" s="1">
        <v>1150000</v>
      </c>
    </row>
    <row r="191" spans="1:11">
      <c r="B191" s="22" t="s">
        <v>27</v>
      </c>
      <c r="C191">
        <v>10</v>
      </c>
      <c r="D191" s="1">
        <v>2000000</v>
      </c>
    </row>
    <row r="192" spans="1:11">
      <c r="B192" s="22" t="s">
        <v>28</v>
      </c>
      <c r="C192">
        <v>10</v>
      </c>
      <c r="D192" s="1">
        <v>700000</v>
      </c>
    </row>
    <row r="193" spans="2:4">
      <c r="B193" s="22" t="s">
        <v>29</v>
      </c>
      <c r="C193">
        <v>8</v>
      </c>
      <c r="D193" s="1">
        <v>600000</v>
      </c>
    </row>
    <row r="194" spans="2:4">
      <c r="B194" s="22" t="s">
        <v>30</v>
      </c>
      <c r="C194">
        <v>11</v>
      </c>
      <c r="D194" s="1">
        <v>1400000</v>
      </c>
    </row>
    <row r="195" spans="2:4">
      <c r="B195" s="22" t="s">
        <v>31</v>
      </c>
      <c r="C195">
        <v>6</v>
      </c>
      <c r="D195" s="1">
        <v>1750000</v>
      </c>
    </row>
    <row r="196" spans="2:4">
      <c r="B196" s="22" t="s">
        <v>32</v>
      </c>
      <c r="C196">
        <v>11</v>
      </c>
      <c r="D196" s="1">
        <v>1250000</v>
      </c>
    </row>
    <row r="197" spans="2:4">
      <c r="B197" s="22" t="s">
        <v>207</v>
      </c>
      <c r="C197">
        <v>4</v>
      </c>
      <c r="D197" s="1">
        <v>300000</v>
      </c>
    </row>
    <row r="198" spans="2:4">
      <c r="B198" s="22" t="s">
        <v>213</v>
      </c>
      <c r="C198">
        <v>10</v>
      </c>
      <c r="D198" s="1">
        <v>1150000</v>
      </c>
    </row>
    <row r="199" spans="2:4">
      <c r="B199" s="22" t="s">
        <v>225</v>
      </c>
      <c r="C199">
        <v>169</v>
      </c>
      <c r="D199" s="1">
        <v>17900000</v>
      </c>
    </row>
  </sheetData>
  <autoFilter ref="A6:O175"/>
  <mergeCells count="1">
    <mergeCell ref="A176:F176"/>
  </mergeCells>
  <conditionalFormatting sqref="M167">
    <cfRule type="containsText" dxfId="12" priority="13" operator="containsText" text="DITOLAK,">
      <formula>NOT(ISERROR(SEARCH("DITOLAK,",M167)))</formula>
    </cfRule>
  </conditionalFormatting>
  <conditionalFormatting sqref="M167">
    <cfRule type="containsText" dxfId="11" priority="12" operator="containsText" text="DITOLAK,">
      <formula>NOT(ISERROR(SEARCH("DITOLAK,",M167)))</formula>
    </cfRule>
  </conditionalFormatting>
  <conditionalFormatting sqref="M168">
    <cfRule type="containsText" dxfId="10" priority="11" operator="containsText" text="DITOLAK,">
      <formula>NOT(ISERROR(SEARCH("DITOLAK,",M168)))</formula>
    </cfRule>
  </conditionalFormatting>
  <conditionalFormatting sqref="M168">
    <cfRule type="containsText" dxfId="9" priority="10" operator="containsText" text="DITOLAK,">
      <formula>NOT(ISERROR(SEARCH("DITOLAK,",M168)))</formula>
    </cfRule>
  </conditionalFormatting>
  <conditionalFormatting sqref="M168">
    <cfRule type="containsText" dxfId="8" priority="9" operator="containsText" text="DITOLAK,">
      <formula>NOT(ISERROR(SEARCH("DITOLAK,",M168)))</formula>
    </cfRule>
  </conditionalFormatting>
  <conditionalFormatting sqref="M169">
    <cfRule type="containsText" dxfId="7" priority="8" operator="containsText" text="DITOLAK,">
      <formula>NOT(ISERROR(SEARCH("DITOLAK,",M169)))</formula>
    </cfRule>
  </conditionalFormatting>
  <conditionalFormatting sqref="M169">
    <cfRule type="containsText" dxfId="6" priority="7" operator="containsText" text="DITOLAK,">
      <formula>NOT(ISERROR(SEARCH("DITOLAK,",M169)))</formula>
    </cfRule>
  </conditionalFormatting>
  <conditionalFormatting sqref="M171">
    <cfRule type="containsText" dxfId="5" priority="6" operator="containsText" text="DITOLAK,">
      <formula>NOT(ISERROR(SEARCH("DITOLAK,",M171)))</formula>
    </cfRule>
  </conditionalFormatting>
  <conditionalFormatting sqref="M171">
    <cfRule type="containsText" dxfId="4" priority="5" operator="containsText" text="DITOLAK,">
      <formula>NOT(ISERROR(SEARCH("DITOLAK,",M171)))</formula>
    </cfRule>
  </conditionalFormatting>
  <conditionalFormatting sqref="M172">
    <cfRule type="containsText" dxfId="3" priority="4" operator="containsText" text="DITOLAK,">
      <formula>NOT(ISERROR(SEARCH("DITOLAK,",M172)))</formula>
    </cfRule>
  </conditionalFormatting>
  <conditionalFormatting sqref="M172">
    <cfRule type="containsText" dxfId="2" priority="3" operator="containsText" text="DITOLAK,">
      <formula>NOT(ISERROR(SEARCH("DITOLAK,",M172)))</formula>
    </cfRule>
  </conditionalFormatting>
  <conditionalFormatting sqref="M174">
    <cfRule type="containsText" dxfId="1" priority="2" operator="containsText" text="DITOLAK,">
      <formula>NOT(ISERROR(SEARCH("DITOLAK,",M174)))</formula>
    </cfRule>
  </conditionalFormatting>
  <conditionalFormatting sqref="M174">
    <cfRule type="containsText" dxfId="0" priority="1" operator="containsText" text="DITOLAK,">
      <formula>NOT(ISERROR(SEARCH("DITOLAK,",M174)))</formula>
    </cfRule>
  </conditionalFormatting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Ismaya</dc:creator>
  <cp:lastModifiedBy>Pasca</cp:lastModifiedBy>
  <dcterms:created xsi:type="dcterms:W3CDTF">2024-07-10T01:29:33Z</dcterms:created>
  <dcterms:modified xsi:type="dcterms:W3CDTF">2024-07-23T04:55:57Z</dcterms:modified>
</cp:coreProperties>
</file>